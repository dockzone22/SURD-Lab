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artCity20\.gemini\antigravity\scratch\surd-lab-homepage\data\"/>
    </mc:Choice>
  </mc:AlternateContent>
  <xr:revisionPtr revIDLastSave="0" documentId="13_ncr:1_{E3AF748C-7FFC-441F-B98D-B6A1871729F5}" xr6:coauthVersionLast="47" xr6:coauthVersionMax="47" xr10:uidLastSave="{00000000-0000-0000-0000-000000000000}"/>
  <bookViews>
    <workbookView xWindow="6570" yWindow="3825" windowWidth="38700" windowHeight="15435" xr2:uid="{FB3B5A28-B30A-4FB9-B973-DA7691D44842}"/>
  </bookViews>
  <sheets>
    <sheet name="publications" sheetId="1" r:id="rId1"/>
    <sheet name="PDF_list" sheetId="3" r:id="rId2"/>
  </sheets>
  <definedNames>
    <definedName name="ExternalData_1" localSheetId="1" hidden="1">PDF_list!$A$1:$A$135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36" i="1" l="1"/>
  <c r="D137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B27CD9-E84A-4817-8267-D7D741014F85}" keepAlive="1" name="쿼리 - 01_학회지논문" description="통합 문서의 '01_학회지논문' 쿼리에 대한 연결입니다." type="5" refreshedVersion="8" background="1" saveData="1">
    <dbPr connection="Provider=Microsoft.Mashup.OleDb.1;Data Source=$Workbook$;Location=01_학회지논문;Extended Properties=&quot;&quot;" command="SELECT * FROM [01_학회지논문]"/>
  </connection>
</connections>
</file>

<file path=xl/sharedStrings.xml><?xml version="1.0" encoding="utf-8"?>
<sst xmlns="http://schemas.openxmlformats.org/spreadsheetml/2006/main" count="1503" uniqueCount="686">
  <si>
    <t>id</t>
    <phoneticPr fontId="1" type="noConversion"/>
  </si>
  <si>
    <t>type</t>
    <phoneticPr fontId="1" type="noConversion"/>
  </si>
  <si>
    <t>year</t>
    <phoneticPr fontId="1" type="noConversion"/>
  </si>
  <si>
    <t>authors</t>
    <phoneticPr fontId="1" type="noConversion"/>
  </si>
  <si>
    <t>title</t>
    <phoneticPr fontId="1" type="noConversion"/>
  </si>
  <si>
    <t>journal</t>
    <phoneticPr fontId="1" type="noConversion"/>
  </si>
  <si>
    <t>volume</t>
    <phoneticPr fontId="1" type="noConversion"/>
  </si>
  <si>
    <t>issue</t>
    <phoneticPr fontId="1" type="noConversion"/>
  </si>
  <si>
    <t>pages</t>
    <phoneticPr fontId="1" type="noConversion"/>
  </si>
  <si>
    <t>doi</t>
    <phoneticPr fontId="1" type="noConversion"/>
  </si>
  <si>
    <t>url</t>
    <phoneticPr fontId="1" type="noConversion"/>
  </si>
  <si>
    <t>display</t>
    <phoneticPr fontId="1" type="noConversion"/>
  </si>
  <si>
    <t>sort_order</t>
    <phoneticPr fontId="1" type="noConversion"/>
  </si>
  <si>
    <t>file_name</t>
    <phoneticPr fontId="1" type="noConversion"/>
  </si>
  <si>
    <t>verified</t>
    <phoneticPr fontId="1" type="noConversion"/>
  </si>
  <si>
    <t>note</t>
    <phoneticPr fontId="1" type="noConversion"/>
  </si>
  <si>
    <t>Name</t>
  </si>
  <si>
    <t>1996, 김창석, 남진, 수도권지역 기업본사의 입지이전 경로와 특성에 관한 연구, 국토계획, 31(1), 대한국토·도시계획학회, pp.43-72.pdf</t>
  </si>
  <si>
    <t>1996, 남진, 수도권지역 기업본사의 입지분포 변화, 도시문제 31(329), 대한지방행정공제회, 85~98.pdf</t>
  </si>
  <si>
    <t>2001, 남진, 동경도의 도심거주확보에 관련한 인센티브제도의 효과와 거주환경평가에 관한 연구, 국토계획 36_4.pdf</t>
  </si>
  <si>
    <t>2002, 김창석, 서울시 상류계층(파워엘리트)의 주거지역 분포특성과 형성요인에 관한 연구, 국토계획 37(5), pp.65~85.pdf</t>
  </si>
  <si>
    <t>2002, 남진, 일본 대도시 도심부에서의 지역관리수법과 운영실태에 관한 연구, 국토계획, 37(5), 대한국토·도시계획학회, pp.49-64.pdf</t>
  </si>
  <si>
    <t>2004, 김창석, 남진, 공명렬, 일본 밀집주택시가지정비촉진사업에서의 주민참여와 공공의 역할에 관한 연구, 국토계획, 39(6), 대한국토·도시계획학회, pp.83-101.pdf</t>
  </si>
  <si>
    <t>2004, 남진, 역사와 문화를 중시하는 미래도시_요코하마, 국토.pdf</t>
  </si>
  <si>
    <t>2004, 남진, 이삼수, 동경도 도심부에서의 재개발 유도수법 및 공공과 민간의 파트너쉽에 관한 연구, 국토계획 39_4.pdf</t>
  </si>
  <si>
    <t>2004, 남진, 이삼수, 동경도 도심부에서의 재개발 유도수법 및 공공과 민간의 파트너쉽에 관한 연구, 국토계획, 39(4), 대한국토·도시계획학회, pp.45-64.pdf</t>
  </si>
  <si>
    <t>2004, 이삼수, 동경도 도심부에서의 재개발 유도수법 및 공공과 민간의 파트너쉽에 관한 연구, 국토계획 39(4), pp. 45~64.pdf</t>
  </si>
  <si>
    <t>2004, 최현정, 김창석, 남진, 주택재건축사업의 주거이동에 따른 주변지역 전세가격의 변화에 대한 연구, 국토계획 39_6.pdf</t>
  </si>
  <si>
    <t>2005, 남진, 주거환경을 고려한 개발밀도론 제시, 국토 289.pdf</t>
  </si>
  <si>
    <t>2005_김광복, 남진, 주택재개발아파트의 단지배치특성에 따른 임대주택거주자의 커뮤니티의식 분석, 국토계획, 40(7), pp.73-86.pdf</t>
  </si>
  <si>
    <t>2005_김광복, 남진, 주택재개발아파트의 단지배치특성에 따른 임대주택거주자의 커뮤니티의식 분석, 국토계획, 40(7), 대한국토·도시계획학회, pp.73-86.pdf</t>
  </si>
  <si>
    <t>2005_남진, 도시평가의 현황, 도시정보, 대한국토도시계획학회, 3~16.pdf</t>
  </si>
  <si>
    <t>2006_강세진, 남진, 김창석,  주거환경정비를 위한 노후불량주거지의 유형별 물리적 특성에 대한 연구, 국토계획, 41(3), 대한국토·도시계획학회, pp.53-67.pdf</t>
  </si>
  <si>
    <t>2006_남진, 서울시 성장관리를 위한 도심주거 확보의 비용효과 분석 연구, 국토계획 41(7), 대한국토도시계획학회, 51~70.pdf</t>
  </si>
  <si>
    <t>2006_남진, 서울시 성장관리를 위한 도심주거 확보의 비용효과 분석 연구, 국토계획, 41(7), pp.51-70.pdf</t>
  </si>
  <si>
    <t>2006_황인자, 남진, 주택재개발구역 내의 세입자 가구의 임대주택 입주선택 결정요인에 관한 연구, 국토계획, 41(3), 대한국토·도시계획학회, pp.69-82.pdf</t>
  </si>
  <si>
    <t>2007_강세진, 김창석, 남진, 개별행태적 시계열적 모형에 의한 주택재개발사업 추진의 영향요인 분석, 국토계획, 42(3), pp.107-129.pdf</t>
  </si>
  <si>
    <t>2007_김영관, 김진하, 남진, 주택재개발사업구역내 토지등소유자의 주택재개발사업에 대한 찬반 의사결정 요인에 관한 연구 -동대문구 이문휘경 뉴타운사업지구를 대상으로, 국토계획, 42(7).pdf</t>
  </si>
  <si>
    <t>2008_강세진, 김창석, 남진, 블록별 주거환경지표의 군집분석을 통한 서울 주거지유형 및 유형별 특성분석.pdf</t>
  </si>
  <si>
    <t>2008_송윤선, 남진, 김도경, 서울시_가구유형별_통근통행시간의_영향요인_분석.pdf</t>
  </si>
  <si>
    <t>2008_최유미, 남진, 서울시 가구특성별 주거선택 요인에 관한 연구 -1996년부터 2006년까지 변화특성을 중심으로, 국토계획, 43.pdf</t>
  </si>
  <si>
    <t>2008_최유미,남진(2008), 서울시 가구특성별 주거선택 요인에 관한 연구.pdf</t>
  </si>
  <si>
    <t>2009_남진, 김진하, 서울시 뉴타운 사업 등 도시재정비사업에 의한 주택가격 변화 분석, 국토계획, 44(1), pp.125-145.pdf</t>
  </si>
  <si>
    <t>2009_남진, 김진하, 서울시 뉴타운사업 등 도시재정비사업에 의한 주택가격 변화 분석, 국토계획 제 1권, 대한국토도시계획학회, p.125~145.pdf</t>
  </si>
  <si>
    <t>2009_송기욱, 남진, 압축형 도시특성요소가 교통에너지 소비에 미치는 영향에 관한 실증분석, 국토계획, 44(5), pp. 193-206.pdf</t>
  </si>
  <si>
    <t>2009_이창효, 김진하, 남진, 서울시 주거환경의 평가와 주택가격과의 정합성 분석, 44(3), pp.109-123.pdf</t>
  </si>
  <si>
    <t>2009_이창효, 김진하, 남진, 서울시_주거환경의_평가와_주택가격과의_정합성_분석.pdf</t>
  </si>
  <si>
    <t>2010_남진, 우명제, 도시재생사업을 위한 공공의 사업비용 조달방법 연구 -미국 TIF의 운용과 분쟁 실태를 중심으로-, 국토계획, 45(7), pp.47-65.pdf</t>
  </si>
  <si>
    <t>2010_송기욱, 김창석, 남진 파워엘리트의 거주지 분포에 영향을 미치는 지역특성요인에 관한 실증분석, 국토계획, 45(2), pp.35-49.pdf</t>
  </si>
  <si>
    <t>2010_원종석, 이희정, 남진, 서울시 역세권 규제완화에 따른 임대주택 확보정책의 실효성 분석 연구 -북아현 및 수색증산 재정비촉진지구를 중심으로-, 국토계획, 45(4), pp.33-42.pdf</t>
  </si>
  <si>
    <t>2010_이도길, 김창석, 남진 재개발사업기간에 영향을 미치는 요인에 관한 연구, 도시행정학보, 23(3), pp.237-252.pdf</t>
  </si>
  <si>
    <t>2011, 성수연, 남진, 기개발지의 주거정비방식에 따른 토지등소유자의 비용편익분석, 국토계획 46_3.pdf</t>
  </si>
  <si>
    <t>2011_신미림, 남진, 서울시 1인가구의 주택수요 예측, 국토계획, 46(4), pp.132-145.pdf</t>
  </si>
  <si>
    <t>2011_최은선, 남진 - 자가가구와 전세가구의 거주기간에 미치는 영향 요인의 비교분석.pdf</t>
  </si>
  <si>
    <t>2012, 김판섭, 남진, 도시환경정비사업이 도시경쟁력에 미치는 영향 분석 - 서울시 도심부를 중심으로, 지역연구 28_2.pdf</t>
  </si>
  <si>
    <t>2012, 김현태, 남진, 서울시 가구특성에 따른 생활권별 주택 점유형태 및 유형 선택에 관한 연구, 서울도시연구 13(2).pdf</t>
  </si>
  <si>
    <t>2012, 김희진, 남진, 도시정비사업이 교통속도변화에 미치는 영향분석, 지역연구 28(4).pdf</t>
  </si>
  <si>
    <t>2012, 노혜진, 남진, 사업유형별 재해저감요소의 특성에 관한 실증분석, 국토계획 47_4.pdf</t>
  </si>
  <si>
    <t>2012, 신은진, 남진, 서울시_아파트_단지의_주거환경_유형별_주거만족도_결정요인에_관한_연구, 국토계획 47_5.pdf</t>
  </si>
  <si>
    <t>2012, 원종석, 남진, 서울시 재건축시프트의 사회적 혼합이 주택가격에 미치는 영향분석, 국토계획 47_2.pdf</t>
  </si>
  <si>
    <t>2012, 이지현, 남진, TDR(Transfer_of_Development_Rights)제도의_법적_분쟁에_관한_연구, 국토계획 47_7.pdf</t>
  </si>
  <si>
    <t>2012, 이진영, 남진, 수도권에서 외국인 거주지 분포의 특성과 영향요인에 관한 연구, 국토계획 47_1.pdf</t>
  </si>
  <si>
    <t>2013, 김지엽,송시강, 남진, 용적이양제 도입을 위한 법적 타당성과 법리구성, 국토계획 48_1.pdf</t>
  </si>
  <si>
    <t>2013, 배병우, 남진, 서울시 거주 대학생의 주거비 부담능력, 서울도시연구 14_1.pdf</t>
  </si>
  <si>
    <t>2013, 오근상, 오문현, 김은영, 남진, 서울시 소득계층별 주거 상하향이동에 관한 연구, 국토계획 48_5.pdf</t>
  </si>
  <si>
    <t>2013, 윤병훈, 남진, 서울시 개발밀도 실현율에 영향을 미치는 요인에 관한 연구, 국토계획 48_5.pdf</t>
  </si>
  <si>
    <t>2013, 윤혜림, 남진, 서울시 개발밀도에 영향을 미치는 요소의 변화에 관한 연구, 국토계획 48_3.pdf</t>
  </si>
  <si>
    <t>2013, 이병룡, 남진, 서울시 주택재개발 사업에서 기부채납 방식에 의한 용적률 인센티브의 적정성 평가, 서울도시연구 14_4.pdf</t>
  </si>
  <si>
    <t>2014, 송경일, 남진, 2주택 공급 주택재건축사업에 따른 토지등소유자의 효용변화 연구, 서울도시연구 15_3.pdf</t>
  </si>
  <si>
    <t>2014, 윤병훈, 남진, 구조방정식을 활용한 개발밀도 영향요인간 상호작용 분석, 국토계획 49_7.pdf</t>
  </si>
  <si>
    <t>2014, 이윤상, 남진, 서울시 상업지역의 개발밀도에 미치는 영향요인에 관한 연구, 국토계획 49(8).pdf</t>
  </si>
  <si>
    <t>2015, 김상훈, 남진, 서울시 도시철도 확충이 신규역세권 개발밀도 변화에 미치는 영향 분석, 국토계획, 50(2).pdf</t>
  </si>
  <si>
    <t>2015, 김태선, 남진, 이도길, 서울시_주택재개발ㆍ주택재건축사업_추진결정에_영향을_미치는_요인분석, 국토계획 50(5).pdf</t>
  </si>
  <si>
    <t>2015, 남진, 김진하, 서울시 소득계층별 주택유형과 점유형태 선택요인 분석, 도시행정학보 28_2.pdf</t>
  </si>
  <si>
    <t>2015, 남진, 윤병훈, 박관우, 도시성장단계평가를 통한 도시재생의 타당성 분석, 국토계획 50(3).pdf</t>
  </si>
  <si>
    <t>2015, 윤병훈, 남진, 도시재생사업의 사회·경제적 파급효과 분석, 국토계획 50_8.pdf</t>
  </si>
  <si>
    <t>2015, 이선영, 남진, 도시재생 수단으로서 지역자산의 의미와 활용실태 분석, 국토계획 50(3).pdf</t>
  </si>
  <si>
    <t>2015, 이지현, 남진, 주택재개발사업에서의 공공조합원 참여 제도의 비용효과 분석, 부동산학보 63.pdf</t>
  </si>
  <si>
    <t>2015, 정필립, 우명제, 남진, 성장기제 이론을 통한 도시 성장의 정치경제학적 접근, 국토계획 50_4.pdf</t>
  </si>
  <si>
    <t>2016, 김상훈, 남진, 유휴공간_유형별_특성_분석과 도시재생을 위한 복합적 토지이용기법에 관한 연구, 한국지역개발학회지 28(1).pdf</t>
  </si>
  <si>
    <t>2016, 김지엽, 남진, 홍미영, 서울시 사전협상제를 중심으로 한 공공기여의 의미와 법적 한계, 도시설계 17(2).pdf</t>
  </si>
  <si>
    <t>2016, 김진하, 남진, 도시쇠퇴지역의 빈집 분포현황과 관리체계에 관한 연구, 지역연구 32(1).pdf</t>
  </si>
  <si>
    <t>2016, 민혜숙, 김영범, 남진, 도시재생사업의 사회적 효용에 관한 연구, 국토계획 51_3.pdf</t>
  </si>
  <si>
    <t>2016, 박수빈, 남진, 젠트리피케이션의_부작용_방지를_위한_지역공동체_역할에_관한_연구, 서울도시연구 17_1.pdf</t>
  </si>
  <si>
    <t>2016, 성진욱, 남진, 이항로짓모형을 이용한 가로주택정비사업 찬반에 미치는 영향요인에 관한 연구, 부동산학보 65.pdf</t>
  </si>
  <si>
    <t>2016, 송기욱, 남진, 서울시 프라임 오피스 빌딩의 점유비용 결정요인에 관한 실증분석, 부동산학보 66.pdf</t>
  </si>
  <si>
    <t>2016, 윤병훈, 남진, 서울시 시가화지역 유형별 적정개발밀도 산정, 서울도시연구 17_3.pdf</t>
  </si>
  <si>
    <t>2016, 이남석, 배효정, 남진, 주한미군 반환기지 개발이 주변 아파트가격에 미치는 영향 연구, 국토계획 51(4).pdf</t>
  </si>
  <si>
    <t>2016, 이지현, 남진, 도시재생특별법과 도시재생 관련법의 정합성 분석 연구, 도시행정학보 29(1).pdf</t>
  </si>
  <si>
    <t>2016, 정필립, 남진, 외국인직접투자 유치를 위한 경제자유구역 입지 경쟁력 평가에 관한 연구.pdf</t>
  </si>
  <si>
    <t>2017, 류인정, 남진, 서울시 공동주택의 정비유형 선택모형에 따른 유형별 수요와 공간적 분포 특성에 관한 연구  용적률과 주택가격을 중심으로, 국토계획52(6).pdf</t>
  </si>
  <si>
    <t>2017, 박수룡, 남진, 택지개발에 따른 대체 산업단지의 이주 결정요인 분석, 국토계획 52(4).pdf</t>
  </si>
  <si>
    <t>2017, 박지현, 남진, 도시쇠퇴현상이 도시관리비용에 미치는 영향에 관한 연구,도시행정학보30(1).pdf</t>
  </si>
  <si>
    <t>2017, 유명소, 남진, 소규모 코하우징 거주자의 주거만족도 영향요인에 관한 연구, 국토계획52(1).pdf</t>
  </si>
  <si>
    <t>2018, 권영필, 남진, 준공업지역의 계획적 관리를 위한 산업기반평가모델 연구 - 서울시 준공업지역을 중심으로, 국토계획 53(2).pdf</t>
  </si>
  <si>
    <t>2018, 송기욱, 남진, 서울시 숙박시설의 객실수급 변화양상 및 전망 분석, 부동산학연구 24(2), 35~49.pdf</t>
  </si>
  <si>
    <t>2018, 윤병훈, 남진, 산업연관분석을 활용한 도시재생사업의 경제적 효과 분석, 부동산학보 73.pdf</t>
  </si>
  <si>
    <t>2018, 이하연, 이지현, 남진, 젠트리피케이션 부작용 방지를 위한 상가임대인 조세지원 제도의 경제적 효용에 관한 연구, 국토계획 53(6).pdf</t>
  </si>
  <si>
    <t>2018, 전근철, 남진, 조우, 국립공원 구역 조정이 토지이용 변화 및 가격에 끼친 영향 - 월악산국립공원을 중심으로, 한국환경생태학회지 32(6).pdf</t>
  </si>
  <si>
    <t>2019, Changhyo Yi, Jin Nam, Interaction effects between the agglomerative externalities affecting the survival of small startups. growth and change.pdf</t>
  </si>
  <si>
    <t>2019, 성진욱, 남진, 다층모형을 활용한 개인, 가구, 지역차원에서의 주거만족도에 관한 연구 - 서울시 공공임대주택 사례를 중심으로 -, 국토계획 54(4).pdf</t>
  </si>
  <si>
    <t>2019, 성진욱, 남진, 서울시 공공임대주택 주택성능과 주거환경 만족도에 미치는 영향요인, 국토계획 54(3).pdf</t>
  </si>
  <si>
    <t>2019, 정재훈, 남진, 위치기반 빅데이터를 활용한 서울시 활동인구 유형 및 유형별 지역 특성 분석, 국토계획 54(3).pdf</t>
  </si>
  <si>
    <t>2020, 이다원, 남진, 나눔카 서비스의 교통형평성 평가 연구, 국토계획 55(6).pdf</t>
  </si>
  <si>
    <t>2020, 이정현, 남진, 서울시 저층주거지의 주택유형별 개발에 미치는 영향요인에 관한 연구, 국토계획 55(1), 35-53.pdf</t>
  </si>
  <si>
    <t>2020, 정성국, 남진, 서울시 생활권계획 도입에 대한 효과 분석_AHP분석 통한 전문가 설문을 중심으로, 도시정책연구 11(2), 167-185.pdf</t>
  </si>
  <si>
    <t>2020, 한지혜, 남진, 도시지역 내 산업단지 쇠퇴가 도시 쇠퇴에 미치는 영향 분석, 한국지역개발학회지 32(1), 167-187.pdf</t>
  </si>
  <si>
    <t>2021, Byung-Hun Yun, Jin Nam, Development of Evaluation Model of Urban Growth Stage Considering the Connectivity between Core and Periphery, J.Urban Plann. Deb. 147(2).pdf</t>
  </si>
  <si>
    <t>2021, Jiyeon Kim, Jin Nam, An Analysis of the Changing Influence Factors on the Housing Affordability for One-person Tenant in Seoul, Journal of Korea Planning Association 56(4), 153-172.pdf</t>
  </si>
  <si>
    <t>2021, Ki-Wook Song, Byung-Hun Yun, Jin Nam, Analysis on the Change Pattern and Dynamic Characteristics of Location Centrality in K-REITs’ Underlying Assets Using the Spatial Statistical Model, KPA 56(1).pdf</t>
  </si>
  <si>
    <t>2021, Su-Bin Lee, Su-Min Son, Sun-Jeong Kim, Jin Nam, Big Data-Based Analysis of Characteristics of Consumption Sales by Region and Age _ Focused on Seoul, KPA 56(2), 138-158.pdf</t>
  </si>
  <si>
    <t>2021, Su-Youn Seong, Jae-Seob Yang, Jin Nam, A Study on the Socio-spatial Characteristics of the Elderly and the Influence Factors of ‘Aging in Place’ in Seoul _ With a Focus on Elderly-concentrated Areas.pdf</t>
  </si>
  <si>
    <t>2021, 김지연, 남진, 서울시 1인 임차 가구의 주거비 부담에 미치는 영향 요인 변화 분석, 국토계획 56(4), 1-16.pdf</t>
  </si>
  <si>
    <t>2021, 박인숙, 남진, 재개발임대주택의 특성이 주거만족도에 미치는 영향 분석, 도시정책연구 12(2), 21-40.pdf</t>
  </si>
  <si>
    <t>2021, 박인숙, 남진, 포용도시 관점에서 재개발임대주택의 사회적 배제 완화를 위한 요인별 중요도 분석, 국토계획 56(5), 5-18.pdf</t>
  </si>
  <si>
    <t>2021, 성수연, 양재섭, 남진, 서울시 고령인구의 사회공간적 특성과 계속 거주 의향에 영향을 미치는 요인 분석_고령인구 밀집지역을 중심으로, 국토계획 56(7), 1-16.pdf</t>
  </si>
  <si>
    <t>2021, 송기욱, 윤병훈, 남진, 공간통계모형을 응용한 부동산투자회사(REITs) 기초자산의 입지 중심성 변화 및 동태적 특성 분석, 국토계획 56(1), 1-22.pdf</t>
  </si>
  <si>
    <t>2021, 안성재, 남진, 서울시민의 소비패턴 변화에 따른 도심형 물류창고 입지분석, 도시정책연구 12(3), 165-187.pdf</t>
  </si>
  <si>
    <t>2021, 이수빈, 김선정, 손수민, 남진, 빅데이터를 활용한 연령별 지역별 소비매출액 특성분석_서울시를 중심으로, 국토계획 56(2), 1-17.pdf</t>
  </si>
  <si>
    <t>2021, 이수빈, 남진, 서울시 도시공간 중심성의 변화와 그 요인분석 _ 2011년과 2019년을 중심으로, 국토계획 56(6), 22-35.pdf</t>
  </si>
  <si>
    <t>2021, 이정현, 남진, 스마트시티 생활서비스의 지역적 특성과 결핍지역 분석_서울시 행정동을 중심으로, 국토계획 56(5), 30-43.pdf</t>
  </si>
  <si>
    <t>2021, 장제환, 남진, 도시지역과 비도시지역의 생활SOC 격차 분석_경기도 고양시를 대상으로, 도시정책연구 12(2), 199-218.pdf</t>
  </si>
  <si>
    <t>2022, 권재연, 남진, 서울대도시권 스타트업 집적지의 유형별 입지 특성, 국토계획, 57(4).pdf</t>
  </si>
  <si>
    <t>2022, 김선정, 남진, 도시 네트워크 기반 상호작용의 정도가 주택가격에 미치는 영향분석 _ 서울대도시권을 중심으로.pdf</t>
  </si>
  <si>
    <t>2022, 손수민, 남진, 빅데이터를 활용한 서울시 주거지역 내 소비매출액 변화 및 영향요인 분석, 도시부동산연구, 13(4), 131-159..pdf</t>
  </si>
  <si>
    <t>2022, 이이주, 남진, 지역산업연관표에 기반한 국토 공간의 폐기물 투입산출구조 분석 _ 수도권을 중심으로, 국토계획, 57(4).pdf</t>
  </si>
  <si>
    <t>2022, 이지현, 남진, 재개발사업의 공공성 패러다임 전환에 관한 연구, 도시행정학보35(1).pdf</t>
  </si>
  <si>
    <t>2022, 정지우, 남진, 빅데이터와 머신러닝을 활용한 스마트 재난관리에 관한 연구 - 서울시 열섬 취약지역을 중심으로 -, 3(1), 20-29.pdf</t>
  </si>
  <si>
    <t>2022, 정지우, 남진, 제조업 특화지역에서 지식집약사업서비스업이 지역경제에 미치는 영향_한국지역개발학회지 34(1), 71-90.pdf</t>
  </si>
  <si>
    <t>2022, 한영민, 정재훈, 남진, 서울시 1인가구 주거이동량과 소형주택 재고량의 지역별 차이 분석, 국토계획 57(1), 115-127.pdf</t>
  </si>
  <si>
    <t>2022, 한영민, 정재훈, 남진, 주거이동 네트워크에 따른 서울대도시권 도시성장단계 분석, 도시부동산연구 13(3).pdf</t>
  </si>
  <si>
    <t>2022, 한지혜, 남진, 서울시 준공업지역의 산업집적이 지역경제성장에 미치는 영향, 도시부동산연구13(1).pdf</t>
  </si>
  <si>
    <t>2023, 권영필, 남진, 서울시 준공업지역의 산업변화 분석연구, 도시부동산연구, 14(4), 29-50.pdf</t>
  </si>
  <si>
    <t>2023, 김나래, 남진, 주택정비형 재개발사업의 추진단계별 리스크에 따른 사업소요기간 분석연구, 58(4), 147-159.pdf</t>
  </si>
  <si>
    <t>2023, 김성호, 이창효, 남진, 서울시 지역별 쇠퇴수준에 따른 음식점 생존율 및  생존요인 실증 분석, 국토계획, 58(3), 68-82.pdf</t>
  </si>
  <si>
    <t>2023, 장진하, 남진, 대한건축학회_여성 주거에 대한 해외 연구의 계량서지학적 분석, 대한건축학회, 39(7), 108-119.pdf</t>
  </si>
  <si>
    <t>2023, 정재훈, 한영민, 남진, 차별적 도시화 모델에 따른 한국 대도시권 도시성장단계 분석, 국토계획 58(1), 33-47.pdf</t>
  </si>
  <si>
    <t>2023, 한지혜, 남진, 서울시 공공임대주택의 특성과 가구의 경제적 향상에 관한 연구, 58(2), 104-115.pdf</t>
  </si>
  <si>
    <t>2023, 홍선기, 남진, 서울시 도시계획변경 사전협상제도의 변천과정과 도입효과에 관한 연구, 도시부동산연구, 14(1), 81-95.pdf</t>
  </si>
  <si>
    <t>2024, 오윤정, 남진, 서울시 공공임대주택 거주자의 주거비부담 결정요인 분석 _ 장애인과 비장애인 가구의 비교를 중심으로.pdf</t>
  </si>
  <si>
    <t>2024, 이광석, 정종대, 남진, 서울시 전세보증금 및 전세 레버리지 규모추정 분석.pdf</t>
  </si>
  <si>
    <t>2024, 이창효, 남진, 김진하, 이재수, Comparison of the distributions of centrality indicies_Using spatial big data to understand urban spatial structure.pdf</t>
  </si>
  <si>
    <t>2024, 장진하, 남진, 1인가구와 소형주택 간의 공간적 관계 분석, 도시부동산연구, 15(2), 61-76.pdf</t>
  </si>
  <si>
    <t>2024, 장진하, 남진, 소형주택 공급이 1인가구의 주거입지에 미치는 영향 분석.pdf</t>
  </si>
  <si>
    <t>2024, 조민주, 남진, 서울시 상업지역 내 주거 용도 확대가 주변 지역 고용에 미치는 영향에 관한 연구 _ 중심지 위계 간 차이를 중심으로, 15(3), 5-29.pdf</t>
  </si>
  <si>
    <t>2025, 권예원, 남진, 서울시 저층주거지의 청년가구 인큐베이팅 역할에 관한 연구, 도시부동산연구 16(3), 70-93.pdf</t>
  </si>
  <si>
    <t>2025, 김창규, 남진, 서울시 도심재개발사업의 정책변화 분석, 도시부동산연구 16(4), 167-187.pdf</t>
  </si>
  <si>
    <t>2025, 송선영, 남진, 비수도권 지역특성이 지역발전에 미치는 영향 외국인 근로자 유입의 조절 및 매개효과를 중심으로, 국토연구 125, 127-153.pdf</t>
  </si>
  <si>
    <t>2025, 송선영, 남진, 인구감소지역의 청년인구 이동패턴 및 지역특성 _ 비수도권 지역을 중심으로, 도시부동산연구, 16(1), 107-135.pdf</t>
  </si>
  <si>
    <t>2025, 송정미, 남진, 서울시 주택재개발 사업에서 신속통합기획의 특성 분석, 도시부동산연구,  16(4), 85-102.pdf</t>
  </si>
  <si>
    <t>2025, 이정현, 남진, 서울시 주택유형별 보증금미반환 위험 요인에 관한 연구, 도시부동산연구 16(2), 5-27.pdf</t>
  </si>
  <si>
    <t>PUB-001</t>
  </si>
  <si>
    <t>PUB-002</t>
  </si>
  <si>
    <t>PUB-003</t>
  </si>
  <si>
    <t>PUB-004</t>
  </si>
  <si>
    <t>PUB-005</t>
  </si>
  <si>
    <t>PUB-006</t>
  </si>
  <si>
    <t>PUB-007</t>
  </si>
  <si>
    <t>PUB-008</t>
  </si>
  <si>
    <t>PUB-009</t>
  </si>
  <si>
    <t>PUB-010</t>
  </si>
  <si>
    <t>PUB-011</t>
  </si>
  <si>
    <t>PUB-012</t>
  </si>
  <si>
    <t>PUB-013</t>
  </si>
  <si>
    <t>PUB-014</t>
  </si>
  <si>
    <t>PUB-015</t>
  </si>
  <si>
    <t>PUB-016</t>
  </si>
  <si>
    <t>PUB-017</t>
  </si>
  <si>
    <t>PUB-018</t>
  </si>
  <si>
    <t>PUB-019</t>
  </si>
  <si>
    <t>PUB-020</t>
  </si>
  <si>
    <t>PUB-021</t>
  </si>
  <si>
    <t>PUB-022</t>
  </si>
  <si>
    <t>PUB-023</t>
  </si>
  <si>
    <t>PUB-024</t>
  </si>
  <si>
    <t>PUB-025</t>
  </si>
  <si>
    <t>PUB-026</t>
  </si>
  <si>
    <t>PUB-027</t>
  </si>
  <si>
    <t>PUB-028</t>
  </si>
  <si>
    <t>PUB-029</t>
  </si>
  <si>
    <t>PUB-030</t>
  </si>
  <si>
    <t>PUB-031</t>
  </si>
  <si>
    <t>PUB-032</t>
  </si>
  <si>
    <t>PUB-033</t>
  </si>
  <si>
    <t>PUB-034</t>
  </si>
  <si>
    <t>PUB-035</t>
  </si>
  <si>
    <t>PUB-036</t>
  </si>
  <si>
    <t>PUB-037</t>
  </si>
  <si>
    <t>PUB-038</t>
  </si>
  <si>
    <t>PUB-039</t>
  </si>
  <si>
    <t>PUB-040</t>
  </si>
  <si>
    <t>PUB-041</t>
  </si>
  <si>
    <t>PUB-042</t>
  </si>
  <si>
    <t>PUB-043</t>
  </si>
  <si>
    <t>PUB-044</t>
  </si>
  <si>
    <t>PUB-045</t>
  </si>
  <si>
    <t>PUB-046</t>
  </si>
  <si>
    <t>PUB-047</t>
  </si>
  <si>
    <t>PUB-048</t>
  </si>
  <si>
    <t>PUB-049</t>
  </si>
  <si>
    <t>PUB-050</t>
  </si>
  <si>
    <t>PUB-051</t>
  </si>
  <si>
    <t>PUB-052</t>
  </si>
  <si>
    <t>PUB-053</t>
  </si>
  <si>
    <t>PUB-054</t>
  </si>
  <si>
    <t>PUB-055</t>
  </si>
  <si>
    <t>PUB-056</t>
  </si>
  <si>
    <t>PUB-057</t>
  </si>
  <si>
    <t>PUB-058</t>
  </si>
  <si>
    <t>PUB-059</t>
  </si>
  <si>
    <t>PUB-060</t>
  </si>
  <si>
    <t>PUB-061</t>
  </si>
  <si>
    <t>PUB-062</t>
  </si>
  <si>
    <t>PUB-063</t>
  </si>
  <si>
    <t>PUB-064</t>
  </si>
  <si>
    <t>PUB-065</t>
  </si>
  <si>
    <t>PUB-066</t>
  </si>
  <si>
    <t>PUB-067</t>
  </si>
  <si>
    <t>PUB-068</t>
  </si>
  <si>
    <t>PUB-069</t>
  </si>
  <si>
    <t>PUB-070</t>
  </si>
  <si>
    <t>PUB-071</t>
  </si>
  <si>
    <t>PUB-072</t>
  </si>
  <si>
    <t>PUB-073</t>
  </si>
  <si>
    <t>PUB-074</t>
  </si>
  <si>
    <t>PUB-075</t>
  </si>
  <si>
    <t>PUB-076</t>
  </si>
  <si>
    <t>PUB-077</t>
  </si>
  <si>
    <t>PUB-078</t>
  </si>
  <si>
    <t>PUB-079</t>
  </si>
  <si>
    <t>PUB-080</t>
  </si>
  <si>
    <t>PUB-081</t>
  </si>
  <si>
    <t>PUB-082</t>
  </si>
  <si>
    <t>PUB-083</t>
  </si>
  <si>
    <t>PUB-084</t>
  </si>
  <si>
    <t>PUB-085</t>
  </si>
  <si>
    <t>PUB-086</t>
  </si>
  <si>
    <t>PUB-087</t>
  </si>
  <si>
    <t>PUB-088</t>
  </si>
  <si>
    <t>PUB-089</t>
  </si>
  <si>
    <t>PUB-090</t>
  </si>
  <si>
    <t>PUB-091</t>
  </si>
  <si>
    <t>PUB-092</t>
  </si>
  <si>
    <t>PUB-093</t>
  </si>
  <si>
    <t>PUB-094</t>
  </si>
  <si>
    <t>PUB-095</t>
  </si>
  <si>
    <t>PUB-096</t>
  </si>
  <si>
    <t>PUB-097</t>
  </si>
  <si>
    <t>PUB-098</t>
  </si>
  <si>
    <t>PUB-099</t>
  </si>
  <si>
    <t>PUB-100</t>
  </si>
  <si>
    <t>PUB-101</t>
  </si>
  <si>
    <t>PUB-102</t>
  </si>
  <si>
    <t>PUB-103</t>
  </si>
  <si>
    <t>PUB-104</t>
  </si>
  <si>
    <t>PUB-105</t>
  </si>
  <si>
    <t>PUB-106</t>
  </si>
  <si>
    <t>PUB-107</t>
  </si>
  <si>
    <t>PUB-108</t>
  </si>
  <si>
    <t>PUB-109</t>
  </si>
  <si>
    <t>PUB-110</t>
  </si>
  <si>
    <t>PUB-111</t>
  </si>
  <si>
    <t>PUB-112</t>
  </si>
  <si>
    <t>PUB-113</t>
  </si>
  <si>
    <t>PUB-114</t>
  </si>
  <si>
    <t>PUB-115</t>
  </si>
  <si>
    <t>PUB-116</t>
  </si>
  <si>
    <t>PUB-117</t>
  </si>
  <si>
    <t>PUB-118</t>
  </si>
  <si>
    <t>PUB-119</t>
  </si>
  <si>
    <t>PUB-120</t>
  </si>
  <si>
    <t>PUB-121</t>
  </si>
  <si>
    <t>PUB-122</t>
  </si>
  <si>
    <t>PUB-123</t>
  </si>
  <si>
    <t>PUB-124</t>
  </si>
  <si>
    <t>PUB-125</t>
  </si>
  <si>
    <t>PUB-126</t>
  </si>
  <si>
    <t>PUB-127</t>
  </si>
  <si>
    <t>PUB-128</t>
  </si>
  <si>
    <t>PUB-129</t>
  </si>
  <si>
    <t>PUB-130</t>
  </si>
  <si>
    <t>PUB-131</t>
  </si>
  <si>
    <t>PUB-132</t>
  </si>
  <si>
    <t>PUB-133</t>
  </si>
  <si>
    <t>PUB-134</t>
  </si>
  <si>
    <t>Journal</t>
  </si>
  <si>
    <t>Unverified</t>
  </si>
  <si>
    <t>N</t>
  </si>
  <si>
    <t>N</t>
    <phoneticPr fontId="1" type="noConversion"/>
  </si>
  <si>
    <t>중복 PDF: 대표 PUB-008</t>
  </si>
  <si>
    <t>중복 PDF: 대표 PUB-013</t>
    <phoneticPr fontId="1" type="noConversion"/>
  </si>
  <si>
    <t>중복 PDF: 대표 PUB-017</t>
    <phoneticPr fontId="1" type="noConversion"/>
  </si>
  <si>
    <t>중복 PDF: 대표 PUB-126</t>
    <phoneticPr fontId="1" type="noConversion"/>
  </si>
  <si>
    <t>대표 파일</t>
    <phoneticPr fontId="1" type="noConversion"/>
  </si>
  <si>
    <t>중복 PDF: 대표 PUB-024</t>
    <phoneticPr fontId="1" type="noConversion"/>
  </si>
  <si>
    <t>중복 PDF: 대표 PUB-026</t>
    <phoneticPr fontId="1" type="noConversion"/>
  </si>
  <si>
    <t>중복 PDF: 대표 PUB-029</t>
    <phoneticPr fontId="1" type="noConversion"/>
  </si>
  <si>
    <t>김창석, 남진</t>
    <phoneticPr fontId="1" type="noConversion"/>
  </si>
  <si>
    <t>수도권지역 기업본사의 입지이전 경로와 특성에 관한 연구</t>
    <phoneticPr fontId="1" type="noConversion"/>
  </si>
  <si>
    <t>국토계획</t>
    <phoneticPr fontId="1" type="noConversion"/>
  </si>
  <si>
    <t>43-72</t>
    <phoneticPr fontId="1" type="noConversion"/>
  </si>
  <si>
    <t>남진</t>
    <phoneticPr fontId="1" type="noConversion"/>
  </si>
  <si>
    <t>수도권지역 기업본사의 입지분포 변화</t>
    <phoneticPr fontId="1" type="noConversion"/>
  </si>
  <si>
    <t>도시문제</t>
    <phoneticPr fontId="1" type="noConversion"/>
  </si>
  <si>
    <t>85-98</t>
    <phoneticPr fontId="1" type="noConversion"/>
  </si>
  <si>
    <t>동경도의 도심거주확보에 관련한 인센티브제도의 효과와 거주환경평가에 관한 연구</t>
    <phoneticPr fontId="1" type="noConversion"/>
  </si>
  <si>
    <t>김창석</t>
    <phoneticPr fontId="1" type="noConversion"/>
  </si>
  <si>
    <t>서울시 상류계층(파워엘리트)의 주거지역 분포특성과 형성요인에 관한 연구</t>
    <phoneticPr fontId="1" type="noConversion"/>
  </si>
  <si>
    <t>49-64</t>
    <phoneticPr fontId="1" type="noConversion"/>
  </si>
  <si>
    <t>일본 대도시 도심부에서의 지역관리수법과 운영실태에 관한 연구</t>
    <phoneticPr fontId="1" type="noConversion"/>
  </si>
  <si>
    <t>83-101</t>
    <phoneticPr fontId="1" type="noConversion"/>
  </si>
  <si>
    <t>김창석, 남진, 공명렬</t>
    <phoneticPr fontId="1" type="noConversion"/>
  </si>
  <si>
    <t>일본 밀집주택시가지정비촉진사업에서의 주민참여와 공공의 역할에 관한 연구</t>
    <phoneticPr fontId="1" type="noConversion"/>
  </si>
  <si>
    <t>65-85</t>
    <phoneticPr fontId="1" type="noConversion"/>
  </si>
  <si>
    <t>역사와 문화를 중시하는 미래도시, 요코하마</t>
    <phoneticPr fontId="1" type="noConversion"/>
  </si>
  <si>
    <t>남진, 이삼수</t>
    <phoneticPr fontId="1" type="noConversion"/>
  </si>
  <si>
    <t>동경도 도심부에서의 재개발 유도수법 및 공공과 민간의 파트너쉽에 관한 연구</t>
    <phoneticPr fontId="1" type="noConversion"/>
  </si>
  <si>
    <t>45-64</t>
    <phoneticPr fontId="1" type="noConversion"/>
  </si>
  <si>
    <t>최현정, 김창석, 남진</t>
    <phoneticPr fontId="1" type="noConversion"/>
  </si>
  <si>
    <t>주택재건축사업에서의 주거이동에 따른 주변지역 전세가격의 변화에 대한 연구</t>
    <phoneticPr fontId="1" type="noConversion"/>
  </si>
  <si>
    <t>주거환경을 고려한 개발밀도론 제시</t>
    <phoneticPr fontId="1" type="noConversion"/>
  </si>
  <si>
    <t>국토</t>
    <phoneticPr fontId="1" type="noConversion"/>
  </si>
  <si>
    <t>김광복, 남진</t>
    <phoneticPr fontId="1" type="noConversion"/>
  </si>
  <si>
    <t>주택재개발아파트의 단지배치특성에 따른 임대주택거주자의 커뮤니티의식 분석</t>
    <phoneticPr fontId="1" type="noConversion"/>
  </si>
  <si>
    <t>73-86</t>
    <phoneticPr fontId="1" type="noConversion"/>
  </si>
  <si>
    <t>도시평가의 현황</t>
    <phoneticPr fontId="1" type="noConversion"/>
  </si>
  <si>
    <t>도시정보</t>
    <phoneticPr fontId="1" type="noConversion"/>
  </si>
  <si>
    <t>3-16</t>
    <phoneticPr fontId="1" type="noConversion"/>
  </si>
  <si>
    <t>강세진, 남진, 김창석</t>
    <phoneticPr fontId="1" type="noConversion"/>
  </si>
  <si>
    <t>주거환경정비를 위한 노후불량주거지의 유형별 물리적 특성에 대한 연구</t>
    <phoneticPr fontId="1" type="noConversion"/>
  </si>
  <si>
    <t>69-82</t>
    <phoneticPr fontId="1" type="noConversion"/>
  </si>
  <si>
    <t>서울시 성장관리를 위한 도심주거 확보의 비용효과 분석 연구</t>
    <phoneticPr fontId="1" type="noConversion"/>
  </si>
  <si>
    <t>51-70</t>
    <phoneticPr fontId="1" type="noConversion"/>
  </si>
  <si>
    <t>황인자, 남진</t>
    <phoneticPr fontId="1" type="noConversion"/>
  </si>
  <si>
    <t>주택재개발구역 내의 세입자 가구의 임대주택 입주선택 결정요인에 관한 연구</t>
    <phoneticPr fontId="1" type="noConversion"/>
  </si>
  <si>
    <t>53-67</t>
    <phoneticPr fontId="1" type="noConversion"/>
  </si>
  <si>
    <t>강세진, 김창석, 남진</t>
    <phoneticPr fontId="1" type="noConversion"/>
  </si>
  <si>
    <t>개별행태적 시계열적 모형에 의한 주택재개발사업 추진의 영향요인 분석</t>
    <phoneticPr fontId="1" type="noConversion"/>
  </si>
  <si>
    <t>107-129</t>
    <phoneticPr fontId="1" type="noConversion"/>
  </si>
  <si>
    <t>김영관, 김진하, 남진</t>
    <phoneticPr fontId="1" type="noConversion"/>
  </si>
  <si>
    <t>주택재개발사업구역내 토지등소유자의 주택재개발상버에 대한 찬반 의사결정 요인에 관한 연구 - 동대문구 이문휘경 뉴타운사업지구를 대상으로</t>
    <phoneticPr fontId="1" type="noConversion"/>
  </si>
  <si>
    <t>블록별 주거환경지표의 군집분석을 통한 서울 주거지유형 및 유형별 특성분석</t>
    <phoneticPr fontId="1" type="noConversion"/>
  </si>
  <si>
    <t>송윤선, 남진, 김도경</t>
    <phoneticPr fontId="1" type="noConversion"/>
  </si>
  <si>
    <t>서울시 가구유형별 통근통행시간의 영향요인 분석</t>
    <phoneticPr fontId="1" type="noConversion"/>
  </si>
  <si>
    <t>최유미, 남진</t>
    <phoneticPr fontId="1" type="noConversion"/>
  </si>
  <si>
    <t>서울시 가구특성별 주거선택 요인에 관한 연구</t>
    <phoneticPr fontId="1" type="noConversion"/>
  </si>
  <si>
    <t>남진, 김진하</t>
    <phoneticPr fontId="1" type="noConversion"/>
  </si>
  <si>
    <t>서울시 뉴타운사업 등 도시재정비사업에 의한 주택가격 변화 분석</t>
    <phoneticPr fontId="1" type="noConversion"/>
  </si>
  <si>
    <t>125-145</t>
    <phoneticPr fontId="1" type="noConversion"/>
  </si>
  <si>
    <t>송기욱, 남진</t>
    <phoneticPr fontId="1" type="noConversion"/>
  </si>
  <si>
    <t>압축형 도시특성요소가 교통에너지 소비에 미치는 영향에 관한 실증분석</t>
    <phoneticPr fontId="1" type="noConversion"/>
  </si>
  <si>
    <t>193-206</t>
    <phoneticPr fontId="1" type="noConversion"/>
  </si>
  <si>
    <t>이창효, 김진하, 남진</t>
    <phoneticPr fontId="1" type="noConversion"/>
  </si>
  <si>
    <t>서울시 주거환경의 평가와 주택가격과의 정합성 분석</t>
    <phoneticPr fontId="1" type="noConversion"/>
  </si>
  <si>
    <t>109-123</t>
    <phoneticPr fontId="1" type="noConversion"/>
  </si>
  <si>
    <t>남진, 우명제</t>
    <phoneticPr fontId="1" type="noConversion"/>
  </si>
  <si>
    <t>도시재생사업을 위한 공공의 사업비용 조달방법 연구 - 미국 TIF의 운용과 분쟁 실태를 중심으로</t>
    <phoneticPr fontId="1" type="noConversion"/>
  </si>
  <si>
    <t>35-49</t>
    <phoneticPr fontId="1" type="noConversion"/>
  </si>
  <si>
    <t>송기욱, 김창석, 남진</t>
    <phoneticPr fontId="1" type="noConversion"/>
  </si>
  <si>
    <t>파워엘리트의 거주지 분포에 영향을 미치는 지역특성요인에 관한 실증분석</t>
    <phoneticPr fontId="1" type="noConversion"/>
  </si>
  <si>
    <t>47-65</t>
    <phoneticPr fontId="1" type="noConversion"/>
  </si>
  <si>
    <t>원종석, 이희정, 남진</t>
    <phoneticPr fontId="1" type="noConversion"/>
  </si>
  <si>
    <t>서울시 역세권 규제완화에 따른 임대주택 확보정책의 실효성 분석 연구 - 북아현 및 수색증산 재정비촉진지구를 중심으로</t>
    <phoneticPr fontId="1" type="noConversion"/>
  </si>
  <si>
    <t>33-42</t>
    <phoneticPr fontId="1" type="noConversion"/>
  </si>
  <si>
    <t>이도길, 김창석, 남진</t>
    <phoneticPr fontId="1" type="noConversion"/>
  </si>
  <si>
    <t>재개발사업기간에 영향을 미치는 요인에 관한 연구</t>
    <phoneticPr fontId="1" type="noConversion"/>
  </si>
  <si>
    <t>도시행정학보</t>
    <phoneticPr fontId="1" type="noConversion"/>
  </si>
  <si>
    <t>237-252</t>
    <phoneticPr fontId="1" type="noConversion"/>
  </si>
  <si>
    <t>성수연, 남진</t>
    <phoneticPr fontId="1" type="noConversion"/>
  </si>
  <si>
    <t>기개발지의 주거정비방식에 따른 토지등소유자의 비용편익분석</t>
    <phoneticPr fontId="1" type="noConversion"/>
  </si>
  <si>
    <t>신미림, 남진</t>
    <phoneticPr fontId="1" type="noConversion"/>
  </si>
  <si>
    <t>서울시 1인가구의 주택수요 예측</t>
    <phoneticPr fontId="1" type="noConversion"/>
  </si>
  <si>
    <t>132-145</t>
    <phoneticPr fontId="1" type="noConversion"/>
  </si>
  <si>
    <t>최은선,남진</t>
    <phoneticPr fontId="1" type="noConversion"/>
  </si>
  <si>
    <t>자가가구와 전세가구의 거주기간에 미치는 영향 요인의 비교분석</t>
    <phoneticPr fontId="1" type="noConversion"/>
  </si>
  <si>
    <t>김판섭, 남진</t>
    <phoneticPr fontId="1" type="noConversion"/>
  </si>
  <si>
    <t>도시환경정비사업이 도시경쟁력에 미치는 영향 분석 - 서울시 중심부를 중심으로</t>
    <phoneticPr fontId="1" type="noConversion"/>
  </si>
  <si>
    <t>지역연구</t>
    <phoneticPr fontId="1" type="noConversion"/>
  </si>
  <si>
    <t>김현태, 남진</t>
    <phoneticPr fontId="1" type="noConversion"/>
  </si>
  <si>
    <t>서울시 가구특성에 따른 생활권별 주택 점유형태 및 유형 선택에 관한 연구</t>
    <phoneticPr fontId="1" type="noConversion"/>
  </si>
  <si>
    <t>서울도시연구</t>
    <phoneticPr fontId="1" type="noConversion"/>
  </si>
  <si>
    <t>김희진, 남진</t>
    <phoneticPr fontId="1" type="noConversion"/>
  </si>
  <si>
    <t>도시정비사업이 교통속도변화에 미치는 영향분석</t>
    <phoneticPr fontId="1" type="noConversion"/>
  </si>
  <si>
    <t>노혜진, 남진</t>
    <phoneticPr fontId="1" type="noConversion"/>
  </si>
  <si>
    <t>사업유형별 재해저감요소의 특성에 관한 실증분석</t>
    <phoneticPr fontId="1" type="noConversion"/>
  </si>
  <si>
    <t>신은진, 남진</t>
    <phoneticPr fontId="1" type="noConversion"/>
  </si>
  <si>
    <t>서울시 아파트 단지의 주거환경 유형별 주거만족도 결정요인에 관한 연구</t>
    <phoneticPr fontId="1" type="noConversion"/>
  </si>
  <si>
    <t>원종석, 남진</t>
    <phoneticPr fontId="1" type="noConversion"/>
  </si>
  <si>
    <t>서울시 재건축시프트의 사회적 혼합이 주택가격에 미치는 영향 분석</t>
    <phoneticPr fontId="1" type="noConversion"/>
  </si>
  <si>
    <t>이지현, 남진</t>
    <phoneticPr fontId="1" type="noConversion"/>
  </si>
  <si>
    <t>TDR제도의 법적 분쟁에 관한 연구</t>
    <phoneticPr fontId="1" type="noConversion"/>
  </si>
  <si>
    <t>이진영, 남진</t>
    <phoneticPr fontId="1" type="noConversion"/>
  </si>
  <si>
    <t>수도권에서 외국인 거주지의 분포의 특서오가 영향요인에 관한 연구</t>
    <phoneticPr fontId="1" type="noConversion"/>
  </si>
  <si>
    <t>김지엽, 송시강, 남진</t>
    <phoneticPr fontId="1" type="noConversion"/>
  </si>
  <si>
    <t>용적이양제 도입을 위한 법적 타당성과 법리구성</t>
    <phoneticPr fontId="1" type="noConversion"/>
  </si>
  <si>
    <t>배병우, 남진</t>
    <phoneticPr fontId="1" type="noConversion"/>
  </si>
  <si>
    <t>서울시 거주 대학생의 주거비 부담능력</t>
    <phoneticPr fontId="1" type="noConversion"/>
  </si>
  <si>
    <t>오근상, 오문현, 김은영, 남진</t>
    <phoneticPr fontId="1" type="noConversion"/>
  </si>
  <si>
    <t>서울시 소득계층별 주거 상하향이동에 관한 연구</t>
    <phoneticPr fontId="1" type="noConversion"/>
  </si>
  <si>
    <t>윤병훈, 남진</t>
    <phoneticPr fontId="1" type="noConversion"/>
  </si>
  <si>
    <t>서울시 개발밀도 실현율에 영향을 미치는 요인에 관한 연구</t>
    <phoneticPr fontId="1" type="noConversion"/>
  </si>
  <si>
    <t>윤혜림, 남진</t>
    <phoneticPr fontId="1" type="noConversion"/>
  </si>
  <si>
    <t>서울시 개발밀도에 영향을 미치는 요소의 변화에 관한 연구</t>
    <phoneticPr fontId="1" type="noConversion"/>
  </si>
  <si>
    <t>이병룡, 남진</t>
    <phoneticPr fontId="1" type="noConversion"/>
  </si>
  <si>
    <t>서울시 주택재개발 사업에서 기부채납 방식에 의한 용적률 인센티브의 적정성 평가</t>
    <phoneticPr fontId="1" type="noConversion"/>
  </si>
  <si>
    <t xml:space="preserve"> 서울도시연구</t>
    <phoneticPr fontId="1" type="noConversion"/>
  </si>
  <si>
    <t>송경일, 남진</t>
    <phoneticPr fontId="1" type="noConversion"/>
  </si>
  <si>
    <t>2주택 공급 주택재건축사업에 따른 토지등소유자의 효용변화 연구</t>
    <phoneticPr fontId="1" type="noConversion"/>
  </si>
  <si>
    <t>구조방정식을 활용한 개발밀도 영향요인간 상호작용 분석</t>
    <phoneticPr fontId="1" type="noConversion"/>
  </si>
  <si>
    <t>이윤상, 남진</t>
    <phoneticPr fontId="1" type="noConversion"/>
  </si>
  <si>
    <t>서울시 상업지역의 개발밀도에 미치는 영향요인에 관한 연구</t>
    <phoneticPr fontId="1" type="noConversion"/>
  </si>
  <si>
    <t>김상훈, 남진</t>
    <phoneticPr fontId="1" type="noConversion"/>
  </si>
  <si>
    <t>서울시 도시철도 확충이 신규역세권 개발밀도 변화에 미치는 영향 분석</t>
    <phoneticPr fontId="1" type="noConversion"/>
  </si>
  <si>
    <t>김태선, 남진, 이도길</t>
    <phoneticPr fontId="1" type="noConversion"/>
  </si>
  <si>
    <t>서울시 주택재개발·재건축사업 추진결정에 영향을 미치는 요인분석</t>
    <phoneticPr fontId="1" type="noConversion"/>
  </si>
  <si>
    <t>서울시 소득계층별 주택유형과 점유형태 선택요인 분석</t>
    <phoneticPr fontId="1" type="noConversion"/>
  </si>
  <si>
    <t>남진, 윤병훈, 박관우</t>
    <phoneticPr fontId="1" type="noConversion"/>
  </si>
  <si>
    <t>도시성장당계평가를 통한 도시재생의 타당성 분석</t>
    <phoneticPr fontId="1" type="noConversion"/>
  </si>
  <si>
    <t>도시재생사업의 사회·경제적 파급효과 분석</t>
    <phoneticPr fontId="1" type="noConversion"/>
  </si>
  <si>
    <t>이선영, 남진</t>
    <phoneticPr fontId="1" type="noConversion"/>
  </si>
  <si>
    <t>도시재생 수단으로서 지역자산의 의미와 활용실태 분석</t>
    <phoneticPr fontId="1" type="noConversion"/>
  </si>
  <si>
    <t>주택재개발사업에서의 공공조합원 참여 제도의 비용효과 분석</t>
    <phoneticPr fontId="1" type="noConversion"/>
  </si>
  <si>
    <t>부동산학보</t>
    <phoneticPr fontId="1" type="noConversion"/>
  </si>
  <si>
    <t>정필립, 우명제, 남진</t>
    <phoneticPr fontId="1" type="noConversion"/>
  </si>
  <si>
    <t>성장기제 이론을 통한 도시 성장의 정치경제학적 접근</t>
    <phoneticPr fontId="1" type="noConversion"/>
  </si>
  <si>
    <t>유휴공간 유형별 특성 분석과 도시재생을 위한 복합적 토지이용기법에 관한 연구</t>
    <phoneticPr fontId="1" type="noConversion"/>
  </si>
  <si>
    <t>한국지역개발학회지</t>
    <phoneticPr fontId="1" type="noConversion"/>
  </si>
  <si>
    <t>김지엽, 남진, 홍미영</t>
    <phoneticPr fontId="1" type="noConversion"/>
  </si>
  <si>
    <t>서울시 사전협상제를 중심으로 한 공공기여의 의미와 법적 한계</t>
    <phoneticPr fontId="1" type="noConversion"/>
  </si>
  <si>
    <t>도시설계</t>
    <phoneticPr fontId="1" type="noConversion"/>
  </si>
  <si>
    <t>김진하, 남진</t>
    <phoneticPr fontId="1" type="noConversion"/>
  </si>
  <si>
    <t>도시쇠퇴지역의 빈집 분포현황과 관리체계에 관한 연구</t>
    <phoneticPr fontId="1" type="noConversion"/>
  </si>
  <si>
    <t>민혜숙, 김영범, 남진</t>
    <phoneticPr fontId="1" type="noConversion"/>
  </si>
  <si>
    <t>도시재생사업의 사회적 효용에 관한 연구</t>
    <phoneticPr fontId="1" type="noConversion"/>
  </si>
  <si>
    <t>Y</t>
  </si>
  <si>
    <t>박수빈, 남진</t>
    <phoneticPr fontId="1" type="noConversion"/>
  </si>
  <si>
    <t>젠트리피케이션의 부작용 방지를 위한 지역공동체 역할에 관한 연구</t>
    <phoneticPr fontId="1" type="noConversion"/>
  </si>
  <si>
    <t>성진욱, 남진</t>
    <phoneticPr fontId="1" type="noConversion"/>
  </si>
  <si>
    <t>이항로직모형을 이용한 가로주택정비사업 찬반에 미치는 영향요인에 관한 연구</t>
    <phoneticPr fontId="1" type="noConversion"/>
  </si>
  <si>
    <t>서울시 프라임 오피스 빌딩의 점유비용 결정요인에 관한 실증분석</t>
    <phoneticPr fontId="1" type="noConversion"/>
  </si>
  <si>
    <t>서울시 시가화지역 유형별 적정개발밀도 산정</t>
    <phoneticPr fontId="1" type="noConversion"/>
  </si>
  <si>
    <t>이남석, 배효정, 남진</t>
    <phoneticPr fontId="1" type="noConversion"/>
  </si>
  <si>
    <t>주한미군 반환기지 개발이 주변 아파트가격에 미치는 영향 연구</t>
    <phoneticPr fontId="1" type="noConversion"/>
  </si>
  <si>
    <t>도시재생특별법과 도시재생 관련법의 정합성 분석 연구</t>
    <phoneticPr fontId="1" type="noConversion"/>
  </si>
  <si>
    <t>정필립, 남진</t>
    <phoneticPr fontId="1" type="noConversion"/>
  </si>
  <si>
    <t>외국인직접투자 유치를 위한 경제자유구역 입지 경쟁력 평가에 관한 연구</t>
    <phoneticPr fontId="1" type="noConversion"/>
  </si>
  <si>
    <t>류인정, 남진</t>
    <phoneticPr fontId="1" type="noConversion"/>
  </si>
  <si>
    <t>서울시 공동주택의 정비유형 선택모형에 따른 유형별 수요와 공간적 분포 특성에 관한 연구: 용적률과 주택가격을 중심으로</t>
    <phoneticPr fontId="1" type="noConversion"/>
  </si>
  <si>
    <t>박수룡, 남진</t>
    <phoneticPr fontId="1" type="noConversion"/>
  </si>
  <si>
    <t>택지개발에 따른 대체 산업단지의 이주 결정요인 분석</t>
    <phoneticPr fontId="1" type="noConversion"/>
  </si>
  <si>
    <t>박지현, 남진</t>
    <phoneticPr fontId="1" type="noConversion"/>
  </si>
  <si>
    <t>도시쇠퇴현상이 도시관리비용에 미치는 영향에 관한 연구</t>
    <phoneticPr fontId="1" type="noConversion"/>
  </si>
  <si>
    <t>유명소, 남진</t>
    <phoneticPr fontId="1" type="noConversion"/>
  </si>
  <si>
    <t>소규모 코하우징 거주자의 주거만족도 영향요인에 관한 연구</t>
    <phoneticPr fontId="1" type="noConversion"/>
  </si>
  <si>
    <t>권영필, 남진</t>
    <phoneticPr fontId="1" type="noConversion"/>
  </si>
  <si>
    <t>준공업지역의 계획적 관리를 위한 산업기반평가모델 연구 - 서울시 준공업지역을 중심으로</t>
    <phoneticPr fontId="1" type="noConversion"/>
  </si>
  <si>
    <t>서울시 숙박시설의 객실수급 변화양상 및 전망 분석</t>
    <phoneticPr fontId="1" type="noConversion"/>
  </si>
  <si>
    <t>부동산학연구</t>
    <phoneticPr fontId="1" type="noConversion"/>
  </si>
  <si>
    <t>산업연관분석을 활용한 도시재생사업의 경제적 효과 분석</t>
    <phoneticPr fontId="1" type="noConversion"/>
  </si>
  <si>
    <t>이하연, 이지현, 남진</t>
    <phoneticPr fontId="1" type="noConversion"/>
  </si>
  <si>
    <t>젠트리피케이션 부작용 방지를 위한 상가임대인 조세지원 제도의 경제적 효용에 관한 연구</t>
    <phoneticPr fontId="1" type="noConversion"/>
  </si>
  <si>
    <t>전근철, 남진, 조우</t>
    <phoneticPr fontId="1" type="noConversion"/>
  </si>
  <si>
    <t>국립공원 구역 조정이 토지이용 변화 및 가격에 끼친 영향 - 월악산국립공원을 중심으로</t>
    <phoneticPr fontId="1" type="noConversion"/>
  </si>
  <si>
    <t>한국환경생태학회지</t>
    <phoneticPr fontId="1" type="noConversion"/>
  </si>
  <si>
    <t>Changhyo Yi, Jin Nam</t>
    <phoneticPr fontId="1" type="noConversion"/>
  </si>
  <si>
    <t>Interaction Effects between the Agglomerative Externalities Affecting the Survival of Small Startups</t>
    <phoneticPr fontId="1" type="noConversion"/>
  </si>
  <si>
    <t>Growth and Change</t>
    <phoneticPr fontId="1" type="noConversion"/>
  </si>
  <si>
    <t>SSCI</t>
  </si>
  <si>
    <t>1311-1337</t>
    <phoneticPr fontId="1" type="noConversion"/>
  </si>
  <si>
    <t>다층모형을 활용한 개인, 가구, 지역차원에서의 주거만족도에 관한 연구 - 서울시 공공임대주택 사례를 중심으로</t>
    <phoneticPr fontId="1" type="noConversion"/>
  </si>
  <si>
    <t>Ki-Wook Song, Byung-Hun Yun, Jin Nam</t>
  </si>
  <si>
    <t>서울시 공공임대주택 주택성능과 주거환경 만족도에 미치는 영향요인</t>
    <phoneticPr fontId="1" type="noConversion"/>
  </si>
  <si>
    <t>정재훈, 남진</t>
    <phoneticPr fontId="1" type="noConversion"/>
  </si>
  <si>
    <t>위치기반 빅데이터를 활용한 서울시 활동인구 유형 및 유형별 지역 특성 분석</t>
    <phoneticPr fontId="1" type="noConversion"/>
  </si>
  <si>
    <t>이다원, 남진</t>
    <phoneticPr fontId="1" type="noConversion"/>
  </si>
  <si>
    <t>나눔카 서비스의 교통형평성 평가 연구</t>
    <phoneticPr fontId="1" type="noConversion"/>
  </si>
  <si>
    <t>이정현, 남진</t>
    <phoneticPr fontId="1" type="noConversion"/>
  </si>
  <si>
    <t>Su-Bin Lee, Su-Min Son, Sun-Jeong Kim, Jin Nam</t>
  </si>
  <si>
    <t>서울시 저층주거지의 주택유형별 개발에 미치는 영향요인에 관한 연구</t>
    <phoneticPr fontId="1" type="noConversion"/>
  </si>
  <si>
    <t>35-53</t>
    <phoneticPr fontId="1" type="noConversion"/>
  </si>
  <si>
    <t>정성국, 남진</t>
    <phoneticPr fontId="1" type="noConversion"/>
  </si>
  <si>
    <t>서울시 생활권계획 도입에 대한 효과 분석 - AHP분석을 통한 전문가 설문을 중심으로</t>
    <phoneticPr fontId="1" type="noConversion"/>
  </si>
  <si>
    <t>도시정책연구</t>
    <phoneticPr fontId="1" type="noConversion"/>
  </si>
  <si>
    <t>167-185</t>
    <phoneticPr fontId="1" type="noConversion"/>
  </si>
  <si>
    <t>한지혜, 남진</t>
    <phoneticPr fontId="1" type="noConversion"/>
  </si>
  <si>
    <t>도시지역 내 산업단지 쇠퇴가 도시 쇠퇴에 미치는 영향 분석</t>
    <phoneticPr fontId="1" type="noConversion"/>
  </si>
  <si>
    <t>167-187</t>
    <phoneticPr fontId="1" type="noConversion"/>
  </si>
  <si>
    <t>Byung-Hun Yun, Jin Nam</t>
    <phoneticPr fontId="1" type="noConversion"/>
  </si>
  <si>
    <t>Development of Evaluation Model of Urban Growth Stage Considering the Connectivity between Core and Periphery</t>
    <phoneticPr fontId="1" type="noConversion"/>
  </si>
  <si>
    <t>Journal of Urban Planning and Development</t>
    <phoneticPr fontId="1" type="noConversion"/>
  </si>
  <si>
    <t>Jiyeon Kim, Jin Nam</t>
    <phoneticPr fontId="1" type="noConversion"/>
  </si>
  <si>
    <t>An Analysis of the Changing Influence Factors on the Housing Affordability for One-person Tenant in Seoul</t>
    <phoneticPr fontId="1" type="noConversion"/>
  </si>
  <si>
    <t>153-172</t>
    <phoneticPr fontId="1" type="noConversion"/>
  </si>
  <si>
    <t>2021, Ki-Wook Song, Byung-Hun Yun, Jin Nam, Analysis on the Change Pattern and Dynamic Characteristics of Location Centrality in K-REITs’ Underlying Assets Using the Spatial Statistical Model, KPA 56(1).pdf</t>
    <phoneticPr fontId="1" type="noConversion"/>
  </si>
  <si>
    <t>Analysis on the Change Pattern and Dynamic Characteristics of Location Centrality in K-REITs’ Underlying Assets Using the Spatial Statistical Model</t>
    <phoneticPr fontId="1" type="noConversion"/>
  </si>
  <si>
    <t>2021, Su-Bin Lee, Su-Min Son, Sun-Jeong Kim, Jin Nam, Big Data-Based Analysis of Characteristics of Consumption Sales by Region and Age _ Focused on Seoul, KPA 56(2), 138-158.pdf</t>
    <phoneticPr fontId="1" type="noConversion"/>
  </si>
  <si>
    <t>Big Data-Based Analysis of Characteristics of Consumption Sales by Region and Age - Focused on Seoul</t>
    <phoneticPr fontId="1" type="noConversion"/>
  </si>
  <si>
    <t>2021, Su-Youn Seong, Jae-Seob Yang, Jin Nam, A Study on the Socio-spatial Characteristics of the Elderly and the Influence Factors of ‘Aging in Place’ in Seoul _ With a Focus on Elderly-concentrated Areas.pdf</t>
    <phoneticPr fontId="1" type="noConversion"/>
  </si>
  <si>
    <t>Su-Youn Seong, Jae-Seob Yang, Jin Nam</t>
  </si>
  <si>
    <t>A Study on the Socio-spatial Characteristics of the Elderly and the Influence Factors of ‘Aging in Place’ in Seoul _ With a Focus on Elderly-concentrated Areas</t>
    <phoneticPr fontId="1" type="noConversion"/>
  </si>
  <si>
    <t>김지연, 남진</t>
    <phoneticPr fontId="1" type="noConversion"/>
  </si>
  <si>
    <t>서울시 1인 임차 가구의 주거비 부담에 미치는 영향 요인 변화 분석</t>
    <phoneticPr fontId="1" type="noConversion"/>
  </si>
  <si>
    <t>1-16</t>
    <phoneticPr fontId="1" type="noConversion"/>
  </si>
  <si>
    <t>박인숙, 남진</t>
    <phoneticPr fontId="1" type="noConversion"/>
  </si>
  <si>
    <t>재개발임대주택의 특성이 주거만족도에 미치는 영향 분석</t>
    <phoneticPr fontId="1" type="noConversion"/>
  </si>
  <si>
    <t>21-40</t>
    <phoneticPr fontId="1" type="noConversion"/>
  </si>
  <si>
    <t>포용도시 관점에서 재개발임대주택의 사회적 배제 완화를 위한 요인별 중요도 분석</t>
    <phoneticPr fontId="1" type="noConversion"/>
  </si>
  <si>
    <t>5-18</t>
    <phoneticPr fontId="1" type="noConversion"/>
  </si>
  <si>
    <t>성수연, 양재섭, 남진</t>
    <phoneticPr fontId="1" type="noConversion"/>
  </si>
  <si>
    <t>서울시 고령인구의 사회공간적 특성과 계속 거주 의향에 영향을 미치는 요인 분석 - 고령인구 밀집지역을 중심으로</t>
    <phoneticPr fontId="1" type="noConversion"/>
  </si>
  <si>
    <t>송기욱, 윤병훈, 남진</t>
    <phoneticPr fontId="1" type="noConversion"/>
  </si>
  <si>
    <t>공간통계모형을 응용한 부동산투자회사(REITs) 기초자산 입지 중심성 변화 및 동태적 특성 분석</t>
    <phoneticPr fontId="1" type="noConversion"/>
  </si>
  <si>
    <t>1-17</t>
    <phoneticPr fontId="1" type="noConversion"/>
  </si>
  <si>
    <t>안성재, 남진</t>
    <phoneticPr fontId="1" type="noConversion"/>
  </si>
  <si>
    <t>서울시민의 소비패턴 변화에 따른 도심형 물류창고 입지분석</t>
    <phoneticPr fontId="1" type="noConversion"/>
  </si>
  <si>
    <t>165-187</t>
    <phoneticPr fontId="1" type="noConversion"/>
  </si>
  <si>
    <t>이수빈, 김선정, 손수민, 남진</t>
    <phoneticPr fontId="1" type="noConversion"/>
  </si>
  <si>
    <t>빅데이터를 활용한 연령별 지역별 소비매출액 특성분석 - 서울시를 중심으로</t>
    <phoneticPr fontId="1" type="noConversion"/>
  </si>
  <si>
    <t>이수빈, 남진</t>
    <phoneticPr fontId="1" type="noConversion"/>
  </si>
  <si>
    <t>스마트시티 생활서비스의 지역적 특성과 결핍지역 분석 - 서울시 행정동을 중심으로</t>
    <phoneticPr fontId="1" type="noConversion"/>
  </si>
  <si>
    <t>30-43</t>
    <phoneticPr fontId="1" type="noConversion"/>
  </si>
  <si>
    <t>서울시 도시공간 중심성의 변화와 그 요인분석 - 2011년과 2019년을 중심으로</t>
    <phoneticPr fontId="1" type="noConversion"/>
  </si>
  <si>
    <t>22-35</t>
    <phoneticPr fontId="1" type="noConversion"/>
  </si>
  <si>
    <t>장제환, 남진</t>
    <phoneticPr fontId="1" type="noConversion"/>
  </si>
  <si>
    <t>도시지역과 비도시지역의 생활넃 격차 분석 - 경기도 고양시를 대상으로</t>
    <phoneticPr fontId="1" type="noConversion"/>
  </si>
  <si>
    <t>199-218</t>
    <phoneticPr fontId="1" type="noConversion"/>
  </si>
  <si>
    <t>권재연, 남진</t>
    <phoneticPr fontId="1" type="noConversion"/>
  </si>
  <si>
    <t>서울대도시권 스타트업 집적지의 유형별 입지 특성</t>
    <phoneticPr fontId="1" type="noConversion"/>
  </si>
  <si>
    <t>김선정, 남진</t>
    <phoneticPr fontId="1" type="noConversion"/>
  </si>
  <si>
    <t>도시 네트워크 기반 상호작용의 정도가 주택가격에 미치는 영향분석 - 서울대도시권을 중심으로</t>
    <phoneticPr fontId="1" type="noConversion"/>
  </si>
  <si>
    <t>157-173</t>
    <phoneticPr fontId="1" type="noConversion"/>
  </si>
  <si>
    <t>손수민, 남진</t>
    <phoneticPr fontId="1" type="noConversion"/>
  </si>
  <si>
    <t>빅데이터를 활용한 서울시 주거지역 내 소비매출액 변화 및 영향요인 분석</t>
    <phoneticPr fontId="1" type="noConversion"/>
  </si>
  <si>
    <t>도시부동산연구</t>
    <phoneticPr fontId="1" type="noConversion"/>
  </si>
  <si>
    <t>131-159</t>
    <phoneticPr fontId="1" type="noConversion"/>
  </si>
  <si>
    <t>이이주, 남진</t>
    <phoneticPr fontId="1" type="noConversion"/>
  </si>
  <si>
    <t>지역산업연관표에 기반한 국토 공간의 폐기물 투입산출구조 분석 - 수도권을 중심으로</t>
    <phoneticPr fontId="1" type="noConversion"/>
  </si>
  <si>
    <t>재개발사업의 공공성 패러다임 전환에 관한 연구</t>
    <phoneticPr fontId="1" type="noConversion"/>
  </si>
  <si>
    <t>정지우, 남진</t>
    <phoneticPr fontId="1" type="noConversion"/>
  </si>
  <si>
    <t xml:space="preserve">빅데이터와 머신러닝을 활용한 스마트 재난관리에 관한 연구 - 서울시 열섬 취약지역을 중심으로 - </t>
    <phoneticPr fontId="1" type="noConversion"/>
  </si>
  <si>
    <t>스마트도시건축학회논문집</t>
    <phoneticPr fontId="1" type="noConversion"/>
  </si>
  <si>
    <t>20-29</t>
    <phoneticPr fontId="1" type="noConversion"/>
  </si>
  <si>
    <t>제조업 특화지역에서 지식집약사업서비스업이 지역경제에 미치는 영향</t>
    <phoneticPr fontId="1" type="noConversion"/>
  </si>
  <si>
    <t>71-90</t>
    <phoneticPr fontId="1" type="noConversion"/>
  </si>
  <si>
    <t>한영민, 정재훈, 남진</t>
    <phoneticPr fontId="1" type="noConversion"/>
  </si>
  <si>
    <t>서울시 1인가구 주거이동량과 소형주택 재고량의 지역별 차이 분석</t>
    <phoneticPr fontId="1" type="noConversion"/>
  </si>
  <si>
    <t>115-127</t>
    <phoneticPr fontId="1" type="noConversion"/>
  </si>
  <si>
    <t>주거이동 네트워크에 따른 서울대도시권 도시성장단계 분석</t>
    <phoneticPr fontId="1" type="noConversion"/>
  </si>
  <si>
    <t>서울시 준공업지역의 산업집적이 지역경제성장에 미치는 영향</t>
    <phoneticPr fontId="1" type="noConversion"/>
  </si>
  <si>
    <t>서울시 준공업지역의 산업변화 분석연구</t>
    <phoneticPr fontId="1" type="noConversion"/>
  </si>
  <si>
    <t>29-50</t>
    <phoneticPr fontId="1" type="noConversion"/>
  </si>
  <si>
    <t>김나래, 남진</t>
    <phoneticPr fontId="1" type="noConversion"/>
  </si>
  <si>
    <t>주택정비형 재개발사업의 추진단계별 리스크에 따른 사업소요기간 분석연구</t>
    <phoneticPr fontId="1" type="noConversion"/>
  </si>
  <si>
    <t>147-159</t>
    <phoneticPr fontId="1" type="noConversion"/>
  </si>
  <si>
    <t>김성호, 이창효, 남진</t>
    <phoneticPr fontId="1" type="noConversion"/>
  </si>
  <si>
    <t>서울시 지역별 쇠퇴수준에 따른 음식점 생존율 및 생존요인 실증 분석</t>
    <phoneticPr fontId="1" type="noConversion"/>
  </si>
  <si>
    <t>68-82</t>
    <phoneticPr fontId="1" type="noConversion"/>
  </si>
  <si>
    <t>장진하, 남진</t>
    <phoneticPr fontId="1" type="noConversion"/>
  </si>
  <si>
    <t>여성 주거에 대한 해외 연구의 계량서지학적 분석</t>
    <phoneticPr fontId="1" type="noConversion"/>
  </si>
  <si>
    <t>대한건축학회</t>
    <phoneticPr fontId="1" type="noConversion"/>
  </si>
  <si>
    <t>108-119</t>
    <phoneticPr fontId="1" type="noConversion"/>
  </si>
  <si>
    <t>정재훈, 한영민, 남진</t>
    <phoneticPr fontId="1" type="noConversion"/>
  </si>
  <si>
    <t>차별적 도시화 모델에 따른 한국 대도시권 도시성장단계 분석</t>
    <phoneticPr fontId="1" type="noConversion"/>
  </si>
  <si>
    <t>33-47</t>
    <phoneticPr fontId="1" type="noConversion"/>
  </si>
  <si>
    <t>서울시 공공임대주택의 특성과 가구의 경제적 향상에 관한 연구</t>
    <phoneticPr fontId="1" type="noConversion"/>
  </si>
  <si>
    <t>104-115</t>
    <phoneticPr fontId="1" type="noConversion"/>
  </si>
  <si>
    <t>홍선기, 남진</t>
    <phoneticPr fontId="1" type="noConversion"/>
  </si>
  <si>
    <t>서울시 도시계획변경 사전협상제도의 변천과정과 도입효과에 관한 연구</t>
    <phoneticPr fontId="1" type="noConversion"/>
  </si>
  <si>
    <t>81-95</t>
    <phoneticPr fontId="1" type="noConversion"/>
  </si>
  <si>
    <t>오윤정, 남진</t>
    <phoneticPr fontId="1" type="noConversion"/>
  </si>
  <si>
    <t>서울시 공공임대주택 거주자의 주거비부담 결정요인 분석 - 장애인과 비장애인 가구의 비교를 중심으로</t>
    <phoneticPr fontId="1" type="noConversion"/>
  </si>
  <si>
    <t>25-45</t>
    <phoneticPr fontId="1" type="noConversion"/>
  </si>
  <si>
    <t>이광석, 정종대, 남진</t>
    <phoneticPr fontId="1" type="noConversion"/>
  </si>
  <si>
    <t>서울시 전세보증금 및 전세 레버리지 규모추정 분석</t>
    <phoneticPr fontId="1" type="noConversion"/>
  </si>
  <si>
    <t>109-124</t>
    <phoneticPr fontId="1" type="noConversion"/>
  </si>
  <si>
    <t>이창효, 남진, 김진하, 이재수</t>
    <phoneticPr fontId="1" type="noConversion"/>
  </si>
  <si>
    <t>Comparison of the Distributions of Centrality Indicies - Using Spatial Big Data to Understand Urban Spatial Structure</t>
    <phoneticPr fontId="1" type="noConversion"/>
  </si>
  <si>
    <t>Cities</t>
    <phoneticPr fontId="1" type="noConversion"/>
  </si>
  <si>
    <t>1인가구와 소형주택 간의 공간적 관계 분석</t>
    <phoneticPr fontId="1" type="noConversion"/>
  </si>
  <si>
    <t>61-76</t>
    <phoneticPr fontId="1" type="noConversion"/>
  </si>
  <si>
    <t>소형주택 공급이 1인가구의 주거입지에 미치는 영향 분석</t>
    <phoneticPr fontId="1" type="noConversion"/>
  </si>
  <si>
    <t>조민주, 남진</t>
    <phoneticPr fontId="1" type="noConversion"/>
  </si>
  <si>
    <t>서울시 상업지역 내 주거 용도 확대가 주변 지역 고용에 미치는 영향에 관한 연구 - 중심지 위계 간 차이를 중심으로</t>
    <phoneticPr fontId="1" type="noConversion"/>
  </si>
  <si>
    <t>5-29</t>
    <phoneticPr fontId="1" type="noConversion"/>
  </si>
  <si>
    <t>권예원, 남진</t>
    <phoneticPr fontId="1" type="noConversion"/>
  </si>
  <si>
    <t>서울시 저층주거지의 청년가구 인큐베이팅 역할에 관한 연구</t>
    <phoneticPr fontId="1" type="noConversion"/>
  </si>
  <si>
    <t>70-93</t>
    <phoneticPr fontId="1" type="noConversion"/>
  </si>
  <si>
    <t>김창규, 남진</t>
    <phoneticPr fontId="1" type="noConversion"/>
  </si>
  <si>
    <t>서울시 도심재개발사업의 정책변화 분석</t>
    <phoneticPr fontId="1" type="noConversion"/>
  </si>
  <si>
    <t>송선영, 남진</t>
    <phoneticPr fontId="1" type="noConversion"/>
  </si>
  <si>
    <t>비수도권 지역특성이 지역발전에 미치는 영향 - 외국인 근로자 유입의 조절 및 매개효과를 중심으로</t>
    <phoneticPr fontId="1" type="noConversion"/>
  </si>
  <si>
    <t>국토연구</t>
    <phoneticPr fontId="1" type="noConversion"/>
  </si>
  <si>
    <t>127-153</t>
    <phoneticPr fontId="1" type="noConversion"/>
  </si>
  <si>
    <t>인구감소지역의 청년인구 이동패턴 및 지역특성 - 비수도권 지역을 중심으로</t>
    <phoneticPr fontId="1" type="noConversion"/>
  </si>
  <si>
    <t>107-135</t>
    <phoneticPr fontId="1" type="noConversion"/>
  </si>
  <si>
    <t>송정미, 남진</t>
    <phoneticPr fontId="1" type="noConversion"/>
  </si>
  <si>
    <t>서울시 주택재개발 사업에서 신속통합기획의 특성 분석</t>
    <phoneticPr fontId="1" type="noConversion"/>
  </si>
  <si>
    <t>85-102</t>
    <phoneticPr fontId="1" type="noConversion"/>
  </si>
  <si>
    <t>서울시 주택유형별 보증금미반환 위험 요인에 관한 연구</t>
    <phoneticPr fontId="1" type="noConversion"/>
  </si>
  <si>
    <t>5-27</t>
    <phoneticPr fontId="1" type="noConversion"/>
  </si>
  <si>
    <t>KCI</t>
  </si>
  <si>
    <t>Other</t>
  </si>
  <si>
    <t>Report</t>
  </si>
  <si>
    <t>type_index</t>
    <phoneticPr fontId="1" type="noConversion"/>
  </si>
  <si>
    <t>PUB-135</t>
  </si>
  <si>
    <t>류준영, 남진</t>
    <phoneticPr fontId="1" type="noConversion"/>
  </si>
  <si>
    <t>산업단지 재생을 위한 공공투자 거버넌스 효율화 방안 연구: 한국과 일본의 운용 모델 비교를 중심으로</t>
    <phoneticPr fontId="1" type="noConversion"/>
  </si>
  <si>
    <t>223-346</t>
    <phoneticPr fontId="1" type="noConversion"/>
  </si>
  <si>
    <t>2026, 류준영, 남진, 산업단지 재생을 위한 공공투자 거버넌스 효율화 방안 연구 _ 한국과 일본의 운용 모델 비교를 중심으로, 도시부동산연구, 17(1), 223-246</t>
    <phoneticPr fontId="1" type="noConversion"/>
  </si>
  <si>
    <t>PUB-136</t>
  </si>
  <si>
    <t>이채은, 남진</t>
    <phoneticPr fontId="1" type="noConversion"/>
  </si>
  <si>
    <t>서울시 청년안심주택 입지 유형화 및 특성 분석에 관한 연구</t>
    <phoneticPr fontId="1" type="noConversion"/>
  </si>
  <si>
    <t>95-119</t>
    <phoneticPr fontId="1" type="noConversion"/>
  </si>
  <si>
    <t>2026, 이채은, 남진, 서울시 청년안심주택 입지 유형화 및 특성 분석에 관한 연구, 도시부동산연구, 17(2), 95-119</t>
  </si>
  <si>
    <t>https://www.dbpia.co.kr/journal/articleDetail?nodeId=NODE00780284</t>
  </si>
  <si>
    <t>https://www.dbpia.co.kr/journal/articleDetail?nodeId=NODE01015110</t>
  </si>
  <si>
    <t>https://www.dbpia.co.kr/journal/articleDetail?nodeId=NODE00788148</t>
  </si>
  <si>
    <t>https://www.dbpia.co.kr/journal/articleDetail?nodeId=NODE01538231</t>
  </si>
  <si>
    <t>https://www.dbpia.co.kr/journal/articleDetail?nodeId=NODE00787735</t>
  </si>
  <si>
    <t>https://www.dbpia.co.kr/journal/articleDetail?nodeId=NODE01445265</t>
  </si>
  <si>
    <t>https://www.dbpia.co.kr/journal/articleDetail?nodeId=NODE00774766</t>
  </si>
  <si>
    <t>https://www.dbpia.co.kr/journal/articleDetail?nodeId=NODE01168221</t>
  </si>
  <si>
    <t>https://www.dbpia.co.kr/journal/articleDetail?nodeId=NODE00786069</t>
  </si>
  <si>
    <t>https://www.dbpia.co.kr/journal/articleDetail?nodeId=NODE00786282</t>
  </si>
  <si>
    <t>https://www.dbpia.co.kr/journal/articleDetail?nodeId=NODE00787734</t>
  </si>
  <si>
    <t>https://www.dbpia.co.kr/journal/articleDetail?nodeId=NODE00787661</t>
  </si>
  <si>
    <t>https://www.dbpia.co.kr/journal/articleDetail?nodeId=NODE01169931</t>
  </si>
  <si>
    <t>https://www.dbpia.co.kr/journal/articleDetail?nodeId=NODE00788035</t>
  </si>
  <si>
    <t>https://www.dbpia.co.kr/journal/articleDetail?nodeId=NODE00798946</t>
  </si>
  <si>
    <t>https://www.dbpia.co.kr/journal/articleDetail?nodeId=NODE00788149</t>
  </si>
  <si>
    <t>https://www.dbpia.co.kr/journal/articleDetail?nodeId=NODE00853974</t>
  </si>
  <si>
    <t>https://www.dbpia.co.kr/journal/articleDetail?nodeId=NODE00937692</t>
  </si>
  <si>
    <t>https://www.dbpia.co.kr/journal/articleDetail?nodeId=NODE01015101</t>
  </si>
  <si>
    <t>https://www.kci.go.kr/kciportal/ci/sereArticleSearch/ciSereArtiView.kci?sereArticleSearchBean.artiId=ART003226769</t>
  </si>
  <si>
    <t>https://www.kci.go.kr/kciportal/ci/sereArticleSearch/ciSereArtiView.kci?sereArticleSearchBean.artiId=ART003295061</t>
  </si>
  <si>
    <t>https://www.kci.go.kr/kciportal/ci/sereArticleSearch/ciSereArtiView.kci?sereArticleSearchBean.artiId=ART003194707</t>
  </si>
  <si>
    <t>https://www.kci.go.kr/kciportal/ci/sereArticleSearch/ciSereArtiView.kci?sereArticleSearchBean.artiId=ART003215786</t>
  </si>
  <si>
    <t>https://www.kci.go.kr/kciportal/ci/sereArticleSearch/ciSereArtiView.kci?sereArticleSearchBean.artiId=ART003295065</t>
  </si>
  <si>
    <t>https://www.kci.go.kr/kciportal/ci/sereArticleSearch/ciSereArtiView.kci?sereArticleSearchBean.artiId=ART003255244</t>
    <phoneticPr fontId="1" type="noConversion"/>
  </si>
  <si>
    <t>https://www.kci.go.kr/kciportal/ci/sereArticleSearch/ciSereArtiView.kci?sereArticleSearchBean.artiId=ART003128104</t>
  </si>
  <si>
    <t>https://www.kci.go.kr/kciportal/ci/sereArticleSearch/ciSereArtiView.kci?sereArticleSearchBean.artiId=ART003142087</t>
  </si>
  <si>
    <t>https://www.kci.go.kr/kciportal/ci/sereArticleSearch/ciSereArtiView.kci?sereArticleSearchBean.artiId=ART003102518</t>
  </si>
  <si>
    <t>https://www.sciencedirect.com/science/article/pii/S0264275124002609</t>
  </si>
  <si>
    <t>https://www.kci.go.kr/kciportal/ci/sereArticleSearch/ciSereArtiView.kci?sereArticleSearchBean.artiId=ART003167791</t>
  </si>
  <si>
    <t>https://www.kci.go.kr/kciportal/ci/sereArticleSearch/ciSereArtiView.kci?sereArticleSearchBean.artiId=ART003167787</t>
    <phoneticPr fontId="1" type="noConversion"/>
  </si>
  <si>
    <t>https://www.kci.go.kr/kciportal/ci/sereArticleSearch/ciSereArtiView.kci?sereArticleSearchBean.artiId=ART002950680</t>
  </si>
  <si>
    <t>https://www.kci.go.kr/kciportal/ci/sereArticleSearch/ciSereArtiView.kci?sereArticleSearchBean.artiId=ART002955955</t>
    <phoneticPr fontId="1" type="noConversion"/>
  </si>
  <si>
    <t>https://www.kci.go.kr/kciportal/ci/sereArticleSearch/ciSereArtiView.kci?sereArticleSearchBean.artiId=ART002932199</t>
  </si>
  <si>
    <t>https://www.kci.go.kr/kciportal/ci/sereArticleSearch/ciSereArtiView.kci?sereArticleSearchBean.artiId=ART002982365</t>
  </si>
  <si>
    <t>https://www.kci.go.kr/kciportal/ci/sereArticleSearch/ciSereArtiView.kci?sereArticleSearchBean.artiId=ART002975694</t>
  </si>
  <si>
    <t>https://www.dbpia.co.kr/journal/articleDetail?nodeId=NODE11509560</t>
  </si>
  <si>
    <t>https://www.kci.go.kr/kciportal/ci/sereArticleSearch/ciSereArtiView.kci?sereArticleSearchBean.artiId=ART003045752</t>
  </si>
  <si>
    <t>https://www.kci.go.kr/kciportal/ci/sereArticleSearch/ciSereArtiView.kci?sereArticleSearchBean.artiId=ART002831394</t>
  </si>
  <si>
    <t>https://www.kci.go.kr/kciportal/ci/sereArticleSearch/ciSereArtiView.kci?sereArticleSearchBean.artiId=ART002887200</t>
  </si>
  <si>
    <t>https://www.kci.go.kr/kciportal/ci/sereArticleSearch/ciSereArtiView.kci?sereArticleSearchBean.artiId=ART002815134</t>
  </si>
  <si>
    <t>https://www.kci.go.kr/kciportal/ci/sereArticleSearch/ciSereArtiView.kci?sereArticleSearchBean.artiId=ART002826329</t>
  </si>
  <si>
    <t>https://www.kci.go.kr/kciportal/ci/sereArticleSearch/ciSereArtiView.kci?sereArticleSearchBean.artiId=ART003023685</t>
  </si>
  <si>
    <t>https://www.dbpia.co.kr/journal/articleDetail?nodeId=NODE11052514</t>
    <phoneticPr fontId="1" type="noConversion"/>
  </si>
  <si>
    <t>https://www.dbpia.co.kr/journal/articleDetail?nodeId=NODE11124347</t>
    <phoneticPr fontId="1" type="noConversion"/>
  </si>
  <si>
    <t>https://www.kci.go.kr/kciportal/ci/sereArticleSearch/ciSereArtiView.kci?sereArticleSearchBean.artiId=ART002925258</t>
  </si>
  <si>
    <t>https://www.kci.go.kr/kciportal/ci/sereArticleSearch/ciSereArtiView.kci?sereArticleSearchBean.artiId=ART002890996</t>
  </si>
  <si>
    <t>https://www.dbpia.co.kr/journal/articleDetail?nodeId=NODE11124342</t>
  </si>
  <si>
    <t>https://www.dbpia.co.kr/journal/articleDetail?nodeId=NODE06586332</t>
  </si>
  <si>
    <t>https://www.dbpia.co.kr/journal/articleDetail?nodeId=NODE06284662</t>
  </si>
  <si>
    <t>https://www.dbpia.co.kr/journal/articleDetail?nodeId=NODE02510562</t>
  </si>
  <si>
    <t>https://www.dbpia.co.kr/journal/articleDetail?nodeId=NODE06650754</t>
  </si>
  <si>
    <t>https://www.dbpia.co.kr/journal/articleDetail?nodeId=NODE07272024</t>
  </si>
  <si>
    <t>https://www.dbpia.co.kr/journal/articleDetail?nodeId=NODE07089398</t>
  </si>
  <si>
    <t>https://www.kci.go.kr/kciportal/ci/sereArticleSearch/ciSereArtiView.kci?sereArticleSearchBean.artiId=ART002755213</t>
  </si>
  <si>
    <t>https://www.kci.go.kr/kciportal/ci/sereArticleSearch/ciSereArtiView.kci?sereArticleSearchBean.artiId=ART002771970</t>
  </si>
  <si>
    <t>2021, 성수연, 양재섭, 남진, 서울시 고령인구의 사회공간적 특성과 계속 거주 의향에 영향을 미치는 요인 분석_고령인구 밀집지역을 중심으로, 국토계획 56(7), 1-16.pdf</t>
    <phoneticPr fontId="1" type="noConversion"/>
  </si>
  <si>
    <t>https://www.kci.go.kr/kciportal/ci/sereArticleSearch/ciSereArtiView.kci?sereArticleSearchBean.artiId=ART002797149</t>
  </si>
  <si>
    <t>https://www.kci.go.kr/kciportal/ci/sereArticleSearch/ciSereArtiView.kci?sereArticleSearchBean.artiId=ART002751182</t>
  </si>
  <si>
    <t>PUB-099와 동일</t>
    <phoneticPr fontId="1" type="noConversion"/>
  </si>
  <si>
    <t>Pub-096과 동일</t>
    <phoneticPr fontId="1" type="noConversion"/>
  </si>
  <si>
    <t>https://www.kci.go.kr/kciportal/ci/sereArticleSearch/ciSereArtiView.kci?sereArticleSearchBean.artiId=ART002690871</t>
  </si>
  <si>
    <t>PUB-100와 동일</t>
    <phoneticPr fontId="1" type="noConversion"/>
  </si>
  <si>
    <t>https://www.kci.go.kr/kciportal/ci/sereArticleSearch/ciSereArtiView.kci?sereArticleSearchBean.artiId=ART002713517</t>
  </si>
  <si>
    <t>094와동일</t>
    <phoneticPr fontId="1" type="noConversion"/>
  </si>
  <si>
    <t>https://www.kci.go.kr/kciportal/ci/sereArticleSearch/ciSereArtiView.kci?sereArticleSearchBean.artiId=ART002772071</t>
  </si>
  <si>
    <t>https://www.kci.go.kr/kciportal/ci/sereArticleSearch/ciSereArtiView.kci?sereArticleSearchBean.artiId=ART002755221</t>
  </si>
  <si>
    <t>https://www.kci.go.kr/kciportal/ci/sereArticleSearch/ciSereArtiView.kci?sereArticleSearchBean.artiId=ART002779765</t>
  </si>
  <si>
    <t>https://www.kci.go.kr/kciportal/ci/sereArticleSearch/ciSereArtiView.kci?sereArticleSearchBean.artiId=ART002805185</t>
  </si>
  <si>
    <t>https://scienceon.kisti.re.kr/srch/selectPORSrchArticle.do?cn=NART112502133</t>
  </si>
  <si>
    <t>https://www.dbpia.co.kr/journal/articleDetail?nodeId=NODE09322712</t>
    <phoneticPr fontId="1" type="noConversion"/>
  </si>
  <si>
    <t>https://www.kci.go.kr/kciportal/ci/sereArticleSearch/ciSereArtiView.kci?sereArticleSearchBean.artiId=ART002625756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</si>
</sst>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quotePrefix="1">
      <alignment vertical="center"/>
    </xf>
    <xf numFmtId="0" fontId="2" fillId="0" borderId="0" xfId="0" applyFont="1">
      <alignment vertical="center"/>
    </xf>
    <xf numFmtId="176" fontId="0" fillId="0" borderId="0" xfId="0" quotePrefix="1" applyNumberFormat="1">
      <alignment vertical="center"/>
    </xf>
    <xf numFmtId="0" fontId="3" fillId="0" borderId="0" xfId="1">
      <alignment vertical="center"/>
    </xf>
  </cellXfs>
  <cellStyles count="2">
    <cellStyle name="표준" xfId="0" builtinId="0"/>
    <cellStyle name="하이퍼링크" xfId="1" builtinId="8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7F8AB32-6FF4-4EEE-AD5C-E0C2F1B039F3}" autoFormatId="16" applyNumberFormats="0" applyBorderFormats="0" applyFontFormats="0" applyPatternFormats="0" applyAlignmentFormats="0" applyWidthHeightFormats="0">
  <queryTableRefresh nextId="2">
    <queryTableFields count="1">
      <queryTableField id="1" name="Name" tableColumnId="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219D66-BA1A-4F2C-94F2-DC6495E11B62}" name="PublicationsTable" displayName="PublicationsTable" ref="A1:Q137" totalsRowShown="0">
  <autoFilter ref="A1:Q137" xr:uid="{3B219D66-BA1A-4F2C-94F2-DC6495E11B62}"/>
  <tableColumns count="17">
    <tableColumn id="1" xr3:uid="{A3F79930-0951-4BB1-9334-E9583C167FB9}" name="id"/>
    <tableColumn id="2" xr3:uid="{E3831AFD-57F7-42F7-9B92-611D56962AE7}" name="type"/>
    <tableColumn id="3" xr3:uid="{329E54A5-7737-4A43-B69F-B74CF0504FAA}" name="type_index"/>
    <tableColumn id="4" xr3:uid="{D8E59C8C-E121-4382-B4A3-C2F0434AC22C}" name="year" dataDxfId="2">
      <calculatedColumnFormula>VALUE(LEFT(PublicationsTable[[#This Row],[file_name]],4))</calculatedColumnFormula>
    </tableColumn>
    <tableColumn id="5" xr3:uid="{1A99A2C0-C670-4BC4-A5EE-F6D8691B009D}" name="authors"/>
    <tableColumn id="6" xr3:uid="{57C6CCC2-B7C9-4F9C-8015-0CA2455B5CE0}" name="title"/>
    <tableColumn id="7" xr3:uid="{055C99AE-6C6F-4B84-8678-68FF988281B4}" name="journal"/>
    <tableColumn id="8" xr3:uid="{D62AB28A-E87A-4778-A7F9-66270F06B909}" name="volume"/>
    <tableColumn id="9" xr3:uid="{746BDA9C-50A2-43A4-A06D-4CCC0F8D03D2}" name="issue"/>
    <tableColumn id="10" xr3:uid="{234A1177-D6BB-4000-9821-C98531E99039}" name="pages"/>
    <tableColumn id="11" xr3:uid="{DF12E49C-DDAD-486D-AFB9-7EAF26E98DAE}" name="doi"/>
    <tableColumn id="12" xr3:uid="{AAFE5DC5-43B6-4059-8841-0CF70A06DB71}" name="url"/>
    <tableColumn id="13" xr3:uid="{49353E8C-BA28-4DF1-A0C8-4054D80F7753}" name="display"/>
    <tableColumn id="14" xr3:uid="{8357FA1E-205E-4796-8A7D-828369B895C7}" name="sort_order"/>
    <tableColumn id="15" xr3:uid="{ACA69314-8DCE-49E1-BC23-B6198CAF191D}" name="file_name" dataDxfId="1"/>
    <tableColumn id="16" xr3:uid="{9B27BD58-5E55-4377-96FB-79621D1F3F73}" name="verified"/>
    <tableColumn id="17" xr3:uid="{F70CB338-BACF-40E5-86FA-FEE1CD203D4F}" name="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672562-8A52-436F-90D4-450D4B76A1EF}" name="_01_학회지논문" displayName="_01_학회지논문" ref="A1:A135" tableType="queryTable" totalsRowShown="0">
  <autoFilter ref="A1:A135" xr:uid="{7C672562-8A52-436F-90D4-450D4B76A1EF}"/>
  <tableColumns count="1">
    <tableColumn id="1" xr3:uid="{3F892609-5DEB-4271-801A-5DDD50A14F75}" uniqueName="1" name="Name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ci.go.kr/kciportal/ci/sereArticleSearch/ciSereArtiView.kci?sereArticleSearchBean.artiId=ART002955955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www.kci.go.kr/kciportal/ci/sereArticleSearch/ciSereArtiView.kci?sereArticleSearchBean.artiId=ART003167787" TargetMode="External"/><Relationship Id="rId1" Type="http://schemas.openxmlformats.org/officeDocument/2006/relationships/hyperlink" Target="https://www.kci.go.kr/kciportal/ci/sereArticleSearch/ciSereArtiView.kci?sereArticleSearchBean.artiId=ART003255244" TargetMode="External"/><Relationship Id="rId6" Type="http://schemas.openxmlformats.org/officeDocument/2006/relationships/hyperlink" Target="https://www.dbpia.co.kr/journal/articleDetail?nodeId=NODE09322712" TargetMode="External"/><Relationship Id="rId5" Type="http://schemas.openxmlformats.org/officeDocument/2006/relationships/hyperlink" Target="https://www.dbpia.co.kr/journal/articleDetail?nodeId=NODE11124347" TargetMode="External"/><Relationship Id="rId4" Type="http://schemas.openxmlformats.org/officeDocument/2006/relationships/hyperlink" Target="https://www.dbpia.co.kr/journal/articleDetail?nodeId=NODE1105251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90BD3-3697-404D-A251-253A8639131A}">
  <dimension ref="A1:Q137"/>
  <sheetViews>
    <sheetView tabSelected="1" topLeftCell="F1" workbookViewId="0">
      <pane ySplit="1" topLeftCell="A119" activePane="bottomLeft" state="frozen"/>
      <selection activeCell="F1" sqref="F1"/>
      <selection pane="bottomLeft" activeCell="O136" sqref="O136"/>
    </sheetView>
  </sheetViews>
  <sheetFormatPr defaultRowHeight="16.5" x14ac:dyDescent="0.3"/>
  <cols>
    <col min="3" max="3" width="12.125" customWidth="1"/>
    <col min="5" max="5" width="9.5" customWidth="1"/>
    <col min="7" max="7" width="43.25" bestFit="1" customWidth="1"/>
    <col min="8" max="8" width="9.25" customWidth="1"/>
    <col min="10" max="10" width="9.875" bestFit="1" customWidth="1"/>
    <col min="11" max="13" width="9" customWidth="1"/>
    <col min="14" max="14" width="11.75" customWidth="1"/>
    <col min="15" max="15" width="199.5" bestFit="1" customWidth="1"/>
    <col min="16" max="16" width="9.375" customWidth="1"/>
  </cols>
  <sheetData>
    <row r="1" spans="1:17" x14ac:dyDescent="0.3">
      <c r="A1" t="s">
        <v>0</v>
      </c>
      <c r="B1" t="s">
        <v>1</v>
      </c>
      <c r="C1" t="s">
        <v>603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">
      <c r="A2" t="s">
        <v>151</v>
      </c>
      <c r="B2" t="s">
        <v>285</v>
      </c>
      <c r="C2" t="s">
        <v>600</v>
      </c>
      <c r="D2">
        <f>VALUE(LEFT(PublicationsTable[[#This Row],[file_name]],4))</f>
        <v>1996</v>
      </c>
      <c r="E2" t="s">
        <v>297</v>
      </c>
      <c r="F2" t="s">
        <v>298</v>
      </c>
      <c r="G2" t="s">
        <v>299</v>
      </c>
      <c r="H2">
        <v>31</v>
      </c>
      <c r="I2">
        <v>1</v>
      </c>
      <c r="J2" t="s">
        <v>300</v>
      </c>
      <c r="L2" t="s">
        <v>614</v>
      </c>
      <c r="M2" t="s">
        <v>434</v>
      </c>
      <c r="O2" t="s">
        <v>17</v>
      </c>
      <c r="P2" t="s">
        <v>287</v>
      </c>
    </row>
    <row r="3" spans="1:17" x14ac:dyDescent="0.3">
      <c r="A3" t="s">
        <v>152</v>
      </c>
      <c r="B3" t="s">
        <v>285</v>
      </c>
      <c r="C3" t="s">
        <v>601</v>
      </c>
      <c r="D3">
        <f>VALUE(LEFT(PublicationsTable[[#This Row],[file_name]],4))</f>
        <v>1996</v>
      </c>
      <c r="E3" t="s">
        <v>301</v>
      </c>
      <c r="F3" t="s">
        <v>302</v>
      </c>
      <c r="G3" t="s">
        <v>303</v>
      </c>
      <c r="H3">
        <v>31</v>
      </c>
      <c r="I3">
        <v>29</v>
      </c>
      <c r="J3" t="s">
        <v>304</v>
      </c>
      <c r="M3" t="s">
        <v>434</v>
      </c>
      <c r="O3" t="s">
        <v>18</v>
      </c>
      <c r="P3" t="s">
        <v>287</v>
      </c>
    </row>
    <row r="4" spans="1:17" x14ac:dyDescent="0.3">
      <c r="A4" t="s">
        <v>153</v>
      </c>
      <c r="B4" t="s">
        <v>285</v>
      </c>
      <c r="C4" t="s">
        <v>600</v>
      </c>
      <c r="D4">
        <f>VALUE(LEFT(PublicationsTable[[#This Row],[file_name]],4))</f>
        <v>2001</v>
      </c>
      <c r="E4" t="s">
        <v>301</v>
      </c>
      <c r="F4" t="s">
        <v>305</v>
      </c>
      <c r="G4" t="s">
        <v>299</v>
      </c>
      <c r="H4">
        <v>36</v>
      </c>
      <c r="I4">
        <v>4</v>
      </c>
      <c r="L4" t="s">
        <v>622</v>
      </c>
      <c r="M4" t="s">
        <v>434</v>
      </c>
      <c r="O4" t="s">
        <v>19</v>
      </c>
      <c r="P4" t="s">
        <v>287</v>
      </c>
    </row>
    <row r="5" spans="1:17" x14ac:dyDescent="0.3">
      <c r="A5" t="s">
        <v>154</v>
      </c>
      <c r="B5" t="s">
        <v>285</v>
      </c>
      <c r="C5" t="s">
        <v>600</v>
      </c>
      <c r="D5">
        <f>VALUE(LEFT(PublicationsTable[[#This Row],[file_name]],4))</f>
        <v>2002</v>
      </c>
      <c r="E5" t="s">
        <v>306</v>
      </c>
      <c r="F5" t="s">
        <v>307</v>
      </c>
      <c r="G5" t="s">
        <v>299</v>
      </c>
      <c r="H5">
        <v>37</v>
      </c>
      <c r="I5">
        <v>5</v>
      </c>
      <c r="J5" t="s">
        <v>313</v>
      </c>
      <c r="L5" t="s">
        <v>623</v>
      </c>
      <c r="M5" t="s">
        <v>434</v>
      </c>
      <c r="O5" t="s">
        <v>20</v>
      </c>
      <c r="P5" t="s">
        <v>287</v>
      </c>
    </row>
    <row r="6" spans="1:17" x14ac:dyDescent="0.3">
      <c r="A6" t="s">
        <v>155</v>
      </c>
      <c r="B6" t="s">
        <v>285</v>
      </c>
      <c r="C6" t="s">
        <v>600</v>
      </c>
      <c r="D6">
        <f>VALUE(LEFT(PublicationsTable[[#This Row],[file_name]],4))</f>
        <v>2002</v>
      </c>
      <c r="E6" t="s">
        <v>301</v>
      </c>
      <c r="F6" t="s">
        <v>309</v>
      </c>
      <c r="G6" t="s">
        <v>299</v>
      </c>
      <c r="H6">
        <v>37</v>
      </c>
      <c r="I6">
        <v>5</v>
      </c>
      <c r="J6" t="s">
        <v>308</v>
      </c>
      <c r="M6" t="s">
        <v>434</v>
      </c>
      <c r="O6" t="s">
        <v>21</v>
      </c>
      <c r="P6" t="s">
        <v>287</v>
      </c>
    </row>
    <row r="7" spans="1:17" x14ac:dyDescent="0.3">
      <c r="A7" t="s">
        <v>156</v>
      </c>
      <c r="B7" t="s">
        <v>285</v>
      </c>
      <c r="C7" t="s">
        <v>600</v>
      </c>
      <c r="D7">
        <f>VALUE(LEFT(PublicationsTable[[#This Row],[file_name]],4))</f>
        <v>2004</v>
      </c>
      <c r="E7" t="s">
        <v>311</v>
      </c>
      <c r="F7" t="s">
        <v>312</v>
      </c>
      <c r="G7" t="s">
        <v>299</v>
      </c>
      <c r="H7">
        <v>39</v>
      </c>
      <c r="I7">
        <v>6</v>
      </c>
      <c r="J7" t="s">
        <v>310</v>
      </c>
      <c r="L7" t="s">
        <v>624</v>
      </c>
      <c r="M7" t="s">
        <v>434</v>
      </c>
      <c r="O7" t="s">
        <v>22</v>
      </c>
      <c r="P7" t="s">
        <v>287</v>
      </c>
    </row>
    <row r="8" spans="1:17" x14ac:dyDescent="0.3">
      <c r="A8" t="s">
        <v>157</v>
      </c>
      <c r="B8" t="s">
        <v>285</v>
      </c>
      <c r="C8" t="s">
        <v>600</v>
      </c>
      <c r="D8">
        <f>VALUE(LEFT(PublicationsTable[[#This Row],[file_name]],4))</f>
        <v>2004</v>
      </c>
      <c r="E8" t="s">
        <v>301</v>
      </c>
      <c r="F8" t="s">
        <v>314</v>
      </c>
      <c r="G8" t="s">
        <v>299</v>
      </c>
      <c r="L8" t="s">
        <v>621</v>
      </c>
      <c r="M8" t="s">
        <v>287</v>
      </c>
      <c r="O8" t="s">
        <v>23</v>
      </c>
      <c r="P8" t="s">
        <v>287</v>
      </c>
    </row>
    <row r="9" spans="1:17" x14ac:dyDescent="0.3">
      <c r="A9" t="s">
        <v>158</v>
      </c>
      <c r="B9" t="s">
        <v>285</v>
      </c>
      <c r="C9" t="s">
        <v>600</v>
      </c>
      <c r="D9">
        <f>VALUE(LEFT(PublicationsTable[[#This Row],[file_name]],4))</f>
        <v>2004</v>
      </c>
      <c r="E9" t="s">
        <v>315</v>
      </c>
      <c r="F9" t="s">
        <v>316</v>
      </c>
      <c r="G9" t="s">
        <v>299</v>
      </c>
      <c r="H9">
        <v>39</v>
      </c>
      <c r="I9">
        <v>4</v>
      </c>
      <c r="J9" t="s">
        <v>317</v>
      </c>
      <c r="L9" t="s">
        <v>625</v>
      </c>
      <c r="M9" t="s">
        <v>434</v>
      </c>
      <c r="O9" t="s">
        <v>24</v>
      </c>
      <c r="P9" t="s">
        <v>287</v>
      </c>
      <c r="Q9" t="s">
        <v>293</v>
      </c>
    </row>
    <row r="10" spans="1:17" x14ac:dyDescent="0.3">
      <c r="A10" t="s">
        <v>159</v>
      </c>
      <c r="B10" t="s">
        <v>285</v>
      </c>
      <c r="C10" t="s">
        <v>286</v>
      </c>
      <c r="D10">
        <f>VALUE(LEFT(PublicationsTable[[#This Row],[file_name]],4))</f>
        <v>2004</v>
      </c>
      <c r="L10" t="s">
        <v>625</v>
      </c>
      <c r="M10" t="s">
        <v>287</v>
      </c>
      <c r="O10" t="s">
        <v>25</v>
      </c>
      <c r="P10" t="s">
        <v>287</v>
      </c>
      <c r="Q10" t="s">
        <v>289</v>
      </c>
    </row>
    <row r="11" spans="1:17" x14ac:dyDescent="0.3">
      <c r="A11" t="s">
        <v>160</v>
      </c>
      <c r="B11" t="s">
        <v>285</v>
      </c>
      <c r="C11" t="s">
        <v>286</v>
      </c>
      <c r="D11">
        <f>VALUE(LEFT(PublicationsTable[[#This Row],[file_name]],4))</f>
        <v>2004</v>
      </c>
      <c r="M11" t="s">
        <v>287</v>
      </c>
      <c r="O11" t="s">
        <v>26</v>
      </c>
      <c r="P11" t="s">
        <v>287</v>
      </c>
      <c r="Q11" t="s">
        <v>289</v>
      </c>
    </row>
    <row r="12" spans="1:17" x14ac:dyDescent="0.3">
      <c r="A12" t="s">
        <v>161</v>
      </c>
      <c r="B12" t="s">
        <v>285</v>
      </c>
      <c r="C12" t="s">
        <v>600</v>
      </c>
      <c r="D12">
        <f>VALUE(LEFT(PublicationsTable[[#This Row],[file_name]],4))</f>
        <v>2004</v>
      </c>
      <c r="E12" t="s">
        <v>318</v>
      </c>
      <c r="F12" t="s">
        <v>319</v>
      </c>
      <c r="G12" t="s">
        <v>299</v>
      </c>
      <c r="H12">
        <v>39</v>
      </c>
      <c r="I12">
        <v>6</v>
      </c>
      <c r="L12" t="s">
        <v>618</v>
      </c>
      <c r="M12" t="s">
        <v>434</v>
      </c>
      <c r="O12" t="s">
        <v>27</v>
      </c>
      <c r="P12" t="s">
        <v>287</v>
      </c>
    </row>
    <row r="13" spans="1:17" x14ac:dyDescent="0.3">
      <c r="A13" t="s">
        <v>162</v>
      </c>
      <c r="B13" t="s">
        <v>602</v>
      </c>
      <c r="C13" t="s">
        <v>601</v>
      </c>
      <c r="D13">
        <f>VALUE(LEFT(PublicationsTable[[#This Row],[file_name]],4))</f>
        <v>2005</v>
      </c>
      <c r="E13" t="s">
        <v>301</v>
      </c>
      <c r="F13" t="s">
        <v>320</v>
      </c>
      <c r="G13" t="s">
        <v>321</v>
      </c>
      <c r="H13">
        <v>289</v>
      </c>
      <c r="L13" t="s">
        <v>626</v>
      </c>
      <c r="M13" t="s">
        <v>434</v>
      </c>
      <c r="O13" t="s">
        <v>28</v>
      </c>
      <c r="P13" t="s">
        <v>287</v>
      </c>
    </row>
    <row r="14" spans="1:17" x14ac:dyDescent="0.3">
      <c r="A14" t="s">
        <v>163</v>
      </c>
      <c r="B14" t="s">
        <v>285</v>
      </c>
      <c r="C14" t="s">
        <v>600</v>
      </c>
      <c r="D14">
        <f>VALUE(LEFT(PublicationsTable[[#This Row],[file_name]],4))</f>
        <v>2005</v>
      </c>
      <c r="E14" t="s">
        <v>322</v>
      </c>
      <c r="F14" t="s">
        <v>323</v>
      </c>
      <c r="G14" t="s">
        <v>299</v>
      </c>
      <c r="H14">
        <v>40</v>
      </c>
      <c r="I14">
        <v>7</v>
      </c>
      <c r="J14" t="s">
        <v>324</v>
      </c>
      <c r="L14" t="s">
        <v>627</v>
      </c>
      <c r="M14" t="s">
        <v>434</v>
      </c>
      <c r="O14" t="s">
        <v>29</v>
      </c>
      <c r="P14" t="s">
        <v>287</v>
      </c>
      <c r="Q14" t="s">
        <v>293</v>
      </c>
    </row>
    <row r="15" spans="1:17" x14ac:dyDescent="0.3">
      <c r="A15" t="s">
        <v>164</v>
      </c>
      <c r="B15" t="s">
        <v>285</v>
      </c>
      <c r="C15" t="s">
        <v>286</v>
      </c>
      <c r="D15">
        <f>VALUE(LEFT(PublicationsTable[[#This Row],[file_name]],4))</f>
        <v>2005</v>
      </c>
      <c r="M15" t="s">
        <v>287</v>
      </c>
      <c r="O15" t="s">
        <v>30</v>
      </c>
      <c r="P15" t="s">
        <v>287</v>
      </c>
      <c r="Q15" t="s">
        <v>290</v>
      </c>
    </row>
    <row r="16" spans="1:17" x14ac:dyDescent="0.3">
      <c r="A16" t="s">
        <v>165</v>
      </c>
      <c r="B16" t="s">
        <v>285</v>
      </c>
      <c r="C16" t="s">
        <v>601</v>
      </c>
      <c r="D16">
        <f>VALUE(LEFT(PublicationsTable[[#This Row],[file_name]],4))</f>
        <v>2005</v>
      </c>
      <c r="E16" t="s">
        <v>301</v>
      </c>
      <c r="F16" t="s">
        <v>325</v>
      </c>
      <c r="G16" t="s">
        <v>326</v>
      </c>
      <c r="J16" s="1" t="s">
        <v>327</v>
      </c>
      <c r="L16" t="s">
        <v>620</v>
      </c>
      <c r="M16" t="s">
        <v>434</v>
      </c>
      <c r="O16" t="s">
        <v>31</v>
      </c>
      <c r="P16" t="s">
        <v>287</v>
      </c>
    </row>
    <row r="17" spans="1:17" x14ac:dyDescent="0.3">
      <c r="A17" t="s">
        <v>166</v>
      </c>
      <c r="B17" t="s">
        <v>285</v>
      </c>
      <c r="C17" t="s">
        <v>600</v>
      </c>
      <c r="D17">
        <f>VALUE(LEFT(PublicationsTable[[#This Row],[file_name]],4))</f>
        <v>2006</v>
      </c>
      <c r="E17" t="s">
        <v>328</v>
      </c>
      <c r="F17" t="s">
        <v>329</v>
      </c>
      <c r="G17" t="s">
        <v>299</v>
      </c>
      <c r="H17">
        <v>41</v>
      </c>
      <c r="I17">
        <v>3</v>
      </c>
      <c r="J17" t="s">
        <v>335</v>
      </c>
      <c r="L17" t="s">
        <v>616</v>
      </c>
      <c r="M17" t="s">
        <v>434</v>
      </c>
      <c r="O17" t="s">
        <v>32</v>
      </c>
      <c r="P17" t="s">
        <v>287</v>
      </c>
    </row>
    <row r="18" spans="1:17" x14ac:dyDescent="0.3">
      <c r="A18" t="s">
        <v>167</v>
      </c>
      <c r="B18" t="s">
        <v>285</v>
      </c>
      <c r="C18" t="s">
        <v>600</v>
      </c>
      <c r="D18">
        <f>VALUE(LEFT(PublicationsTable[[#This Row],[file_name]],4))</f>
        <v>2006</v>
      </c>
      <c r="E18" t="s">
        <v>301</v>
      </c>
      <c r="F18" t="s">
        <v>331</v>
      </c>
      <c r="G18" t="s">
        <v>299</v>
      </c>
      <c r="H18">
        <v>41</v>
      </c>
      <c r="I18">
        <v>7</v>
      </c>
      <c r="J18" t="s">
        <v>332</v>
      </c>
      <c r="L18" t="s">
        <v>628</v>
      </c>
      <c r="M18" t="s">
        <v>434</v>
      </c>
      <c r="O18" t="s">
        <v>33</v>
      </c>
      <c r="P18" t="s">
        <v>287</v>
      </c>
      <c r="Q18" t="s">
        <v>293</v>
      </c>
    </row>
    <row r="19" spans="1:17" x14ac:dyDescent="0.3">
      <c r="A19" t="s">
        <v>168</v>
      </c>
      <c r="B19" t="s">
        <v>285</v>
      </c>
      <c r="C19" t="s">
        <v>286</v>
      </c>
      <c r="D19">
        <f>VALUE(LEFT(PublicationsTable[[#This Row],[file_name]],4))</f>
        <v>2006</v>
      </c>
      <c r="M19" t="s">
        <v>287</v>
      </c>
      <c r="O19" t="s">
        <v>34</v>
      </c>
      <c r="P19" t="s">
        <v>287</v>
      </c>
      <c r="Q19" t="s">
        <v>291</v>
      </c>
    </row>
    <row r="20" spans="1:17" x14ac:dyDescent="0.3">
      <c r="A20" t="s">
        <v>169</v>
      </c>
      <c r="B20" t="s">
        <v>285</v>
      </c>
      <c r="C20" t="s">
        <v>600</v>
      </c>
      <c r="D20">
        <f>VALUE(LEFT(PublicationsTable[[#This Row],[file_name]],4))</f>
        <v>2006</v>
      </c>
      <c r="E20" t="s">
        <v>333</v>
      </c>
      <c r="F20" t="s">
        <v>334</v>
      </c>
      <c r="G20" t="s">
        <v>299</v>
      </c>
      <c r="H20">
        <v>41</v>
      </c>
      <c r="I20">
        <v>3</v>
      </c>
      <c r="J20" t="s">
        <v>330</v>
      </c>
      <c r="L20" t="s">
        <v>629</v>
      </c>
      <c r="M20" t="s">
        <v>434</v>
      </c>
      <c r="O20" t="s">
        <v>35</v>
      </c>
      <c r="P20" t="s">
        <v>287</v>
      </c>
    </row>
    <row r="21" spans="1:17" x14ac:dyDescent="0.3">
      <c r="A21" t="s">
        <v>170</v>
      </c>
      <c r="B21" t="s">
        <v>285</v>
      </c>
      <c r="C21" t="s">
        <v>600</v>
      </c>
      <c r="D21">
        <f>VALUE(LEFT(PublicationsTable[[#This Row],[file_name]],4))</f>
        <v>2007</v>
      </c>
      <c r="E21" t="s">
        <v>336</v>
      </c>
      <c r="F21" t="s">
        <v>337</v>
      </c>
      <c r="G21" t="s">
        <v>299</v>
      </c>
      <c r="H21">
        <v>42</v>
      </c>
      <c r="I21">
        <v>3</v>
      </c>
      <c r="J21" t="s">
        <v>338</v>
      </c>
      <c r="L21" t="s">
        <v>630</v>
      </c>
      <c r="M21" t="s">
        <v>434</v>
      </c>
      <c r="O21" t="s">
        <v>36</v>
      </c>
      <c r="P21" t="s">
        <v>287</v>
      </c>
    </row>
    <row r="22" spans="1:17" x14ac:dyDescent="0.3">
      <c r="A22" t="s">
        <v>171</v>
      </c>
      <c r="B22" t="s">
        <v>285</v>
      </c>
      <c r="C22" t="s">
        <v>600</v>
      </c>
      <c r="D22">
        <f>VALUE(LEFT(PublicationsTable[[#This Row],[file_name]],4))</f>
        <v>2007</v>
      </c>
      <c r="E22" t="s">
        <v>339</v>
      </c>
      <c r="F22" t="s">
        <v>340</v>
      </c>
      <c r="G22" t="s">
        <v>299</v>
      </c>
      <c r="H22">
        <v>42</v>
      </c>
      <c r="I22">
        <v>7</v>
      </c>
      <c r="L22" t="s">
        <v>631</v>
      </c>
      <c r="M22" t="s">
        <v>434</v>
      </c>
      <c r="O22" t="s">
        <v>37</v>
      </c>
      <c r="P22" t="s">
        <v>287</v>
      </c>
    </row>
    <row r="23" spans="1:17" x14ac:dyDescent="0.3">
      <c r="A23" t="s">
        <v>172</v>
      </c>
      <c r="B23" t="s">
        <v>285</v>
      </c>
      <c r="C23" t="s">
        <v>600</v>
      </c>
      <c r="D23">
        <f>VALUE(LEFT(PublicationsTable[[#This Row],[file_name]],4))</f>
        <v>2008</v>
      </c>
      <c r="E23" t="s">
        <v>336</v>
      </c>
      <c r="F23" t="s">
        <v>341</v>
      </c>
      <c r="G23" t="s">
        <v>299</v>
      </c>
      <c r="H23">
        <v>43</v>
      </c>
      <c r="I23">
        <v>3</v>
      </c>
      <c r="L23" t="s">
        <v>615</v>
      </c>
      <c r="M23" t="s">
        <v>434</v>
      </c>
      <c r="O23" t="s">
        <v>38</v>
      </c>
      <c r="P23" t="s">
        <v>287</v>
      </c>
    </row>
    <row r="24" spans="1:17" x14ac:dyDescent="0.3">
      <c r="A24" t="s">
        <v>173</v>
      </c>
      <c r="B24" t="s">
        <v>285</v>
      </c>
      <c r="C24" t="s">
        <v>600</v>
      </c>
      <c r="D24">
        <f>VALUE(LEFT(PublicationsTable[[#This Row],[file_name]],4))</f>
        <v>2008</v>
      </c>
      <c r="E24" t="s">
        <v>342</v>
      </c>
      <c r="F24" t="s">
        <v>343</v>
      </c>
      <c r="G24" t="s">
        <v>299</v>
      </c>
      <c r="H24">
        <v>43</v>
      </c>
      <c r="I24">
        <v>3</v>
      </c>
      <c r="L24" t="s">
        <v>632</v>
      </c>
      <c r="M24" t="s">
        <v>434</v>
      </c>
      <c r="O24" t="s">
        <v>39</v>
      </c>
      <c r="P24" t="s">
        <v>287</v>
      </c>
    </row>
    <row r="25" spans="1:17" x14ac:dyDescent="0.3">
      <c r="A25" t="s">
        <v>174</v>
      </c>
      <c r="B25" t="s">
        <v>285</v>
      </c>
      <c r="C25" t="s">
        <v>600</v>
      </c>
      <c r="D25">
        <f>VALUE(LEFT(PublicationsTable[[#This Row],[file_name]],4))</f>
        <v>2008</v>
      </c>
      <c r="E25" t="s">
        <v>344</v>
      </c>
      <c r="F25" t="s">
        <v>345</v>
      </c>
      <c r="G25" t="s">
        <v>299</v>
      </c>
      <c r="H25">
        <v>43</v>
      </c>
      <c r="M25" t="s">
        <v>434</v>
      </c>
      <c r="O25" t="s">
        <v>40</v>
      </c>
      <c r="P25" t="s">
        <v>287</v>
      </c>
      <c r="Q25" t="s">
        <v>293</v>
      </c>
    </row>
    <row r="26" spans="1:17" x14ac:dyDescent="0.3">
      <c r="A26" t="s">
        <v>175</v>
      </c>
      <c r="B26" t="s">
        <v>285</v>
      </c>
      <c r="C26" t="s">
        <v>286</v>
      </c>
      <c r="D26">
        <f>VALUE(LEFT(PublicationsTable[[#This Row],[file_name]],4))</f>
        <v>2008</v>
      </c>
      <c r="M26" t="s">
        <v>287</v>
      </c>
      <c r="O26" t="s">
        <v>41</v>
      </c>
      <c r="P26" t="s">
        <v>287</v>
      </c>
      <c r="Q26" t="s">
        <v>294</v>
      </c>
    </row>
    <row r="27" spans="1:17" x14ac:dyDescent="0.3">
      <c r="A27" t="s">
        <v>176</v>
      </c>
      <c r="B27" t="s">
        <v>285</v>
      </c>
      <c r="C27" t="s">
        <v>600</v>
      </c>
      <c r="D27">
        <f>VALUE(LEFT(PublicationsTable[[#This Row],[file_name]],4))</f>
        <v>2009</v>
      </c>
      <c r="E27" t="s">
        <v>346</v>
      </c>
      <c r="F27" t="s">
        <v>347</v>
      </c>
      <c r="G27" t="s">
        <v>299</v>
      </c>
      <c r="H27">
        <v>44</v>
      </c>
      <c r="I27">
        <v>1</v>
      </c>
      <c r="J27" t="s">
        <v>348</v>
      </c>
      <c r="M27" t="s">
        <v>434</v>
      </c>
      <c r="O27" t="s">
        <v>42</v>
      </c>
      <c r="P27" t="s">
        <v>287</v>
      </c>
      <c r="Q27" t="s">
        <v>293</v>
      </c>
    </row>
    <row r="28" spans="1:17" x14ac:dyDescent="0.3">
      <c r="A28" t="s">
        <v>177</v>
      </c>
      <c r="B28" t="s">
        <v>285</v>
      </c>
      <c r="C28" t="s">
        <v>286</v>
      </c>
      <c r="D28">
        <f>VALUE(LEFT(PublicationsTable[[#This Row],[file_name]],4))</f>
        <v>2009</v>
      </c>
      <c r="M28" t="s">
        <v>287</v>
      </c>
      <c r="O28" t="s">
        <v>43</v>
      </c>
      <c r="P28" t="s">
        <v>287</v>
      </c>
      <c r="Q28" t="s">
        <v>295</v>
      </c>
    </row>
    <row r="29" spans="1:17" x14ac:dyDescent="0.3">
      <c r="A29" t="s">
        <v>178</v>
      </c>
      <c r="B29" t="s">
        <v>285</v>
      </c>
      <c r="C29" t="s">
        <v>600</v>
      </c>
      <c r="D29">
        <f>VALUE(LEFT(PublicationsTable[[#This Row],[file_name]],4))</f>
        <v>2009</v>
      </c>
      <c r="E29" t="s">
        <v>349</v>
      </c>
      <c r="F29" t="s">
        <v>350</v>
      </c>
      <c r="G29" t="s">
        <v>299</v>
      </c>
      <c r="H29">
        <v>44</v>
      </c>
      <c r="I29">
        <v>5</v>
      </c>
      <c r="J29" t="s">
        <v>351</v>
      </c>
      <c r="M29" t="s">
        <v>434</v>
      </c>
      <c r="O29" t="s">
        <v>44</v>
      </c>
      <c r="P29" t="s">
        <v>287</v>
      </c>
    </row>
    <row r="30" spans="1:17" x14ac:dyDescent="0.3">
      <c r="A30" t="s">
        <v>179</v>
      </c>
      <c r="B30" t="s">
        <v>285</v>
      </c>
      <c r="C30" t="s">
        <v>600</v>
      </c>
      <c r="D30">
        <f>VALUE(LEFT(PublicationsTable[[#This Row],[file_name]],4))</f>
        <v>2009</v>
      </c>
      <c r="E30" t="s">
        <v>352</v>
      </c>
      <c r="F30" t="s">
        <v>353</v>
      </c>
      <c r="G30" t="s">
        <v>299</v>
      </c>
      <c r="H30">
        <v>44</v>
      </c>
      <c r="I30">
        <v>3</v>
      </c>
      <c r="J30" t="s">
        <v>354</v>
      </c>
      <c r="M30" t="s">
        <v>434</v>
      </c>
      <c r="O30" t="s">
        <v>45</v>
      </c>
      <c r="P30" t="s">
        <v>287</v>
      </c>
      <c r="Q30" t="s">
        <v>293</v>
      </c>
    </row>
    <row r="31" spans="1:17" x14ac:dyDescent="0.3">
      <c r="A31" t="s">
        <v>180</v>
      </c>
      <c r="B31" t="s">
        <v>285</v>
      </c>
      <c r="C31" t="s">
        <v>286</v>
      </c>
      <c r="D31">
        <f>VALUE(LEFT(PublicationsTable[[#This Row],[file_name]],4))</f>
        <v>2009</v>
      </c>
      <c r="M31" t="s">
        <v>287</v>
      </c>
      <c r="O31" t="s">
        <v>46</v>
      </c>
      <c r="P31" t="s">
        <v>287</v>
      </c>
      <c r="Q31" t="s">
        <v>296</v>
      </c>
    </row>
    <row r="32" spans="1:17" x14ac:dyDescent="0.3">
      <c r="A32" t="s">
        <v>181</v>
      </c>
      <c r="B32" t="s">
        <v>285</v>
      </c>
      <c r="C32" t="s">
        <v>600</v>
      </c>
      <c r="D32">
        <f>VALUE(LEFT(PublicationsTable[[#This Row],[file_name]],4))</f>
        <v>2010</v>
      </c>
      <c r="E32" t="s">
        <v>355</v>
      </c>
      <c r="F32" t="s">
        <v>356</v>
      </c>
      <c r="G32" t="s">
        <v>299</v>
      </c>
      <c r="H32">
        <v>45</v>
      </c>
      <c r="I32">
        <v>7</v>
      </c>
      <c r="J32" t="s">
        <v>360</v>
      </c>
      <c r="M32" t="s">
        <v>434</v>
      </c>
      <c r="O32" t="s">
        <v>47</v>
      </c>
      <c r="P32" t="s">
        <v>287</v>
      </c>
    </row>
    <row r="33" spans="1:16" x14ac:dyDescent="0.3">
      <c r="A33" t="s">
        <v>182</v>
      </c>
      <c r="B33" t="s">
        <v>285</v>
      </c>
      <c r="C33" t="s">
        <v>600</v>
      </c>
      <c r="D33">
        <f>VALUE(LEFT(PublicationsTable[[#This Row],[file_name]],4))</f>
        <v>2010</v>
      </c>
      <c r="E33" t="s">
        <v>358</v>
      </c>
      <c r="F33" t="s">
        <v>359</v>
      </c>
      <c r="G33" t="s">
        <v>299</v>
      </c>
      <c r="H33">
        <v>45</v>
      </c>
      <c r="I33">
        <v>2</v>
      </c>
      <c r="J33" t="s">
        <v>357</v>
      </c>
      <c r="L33" t="s">
        <v>619</v>
      </c>
      <c r="M33" t="s">
        <v>434</v>
      </c>
      <c r="O33" t="s">
        <v>48</v>
      </c>
      <c r="P33" t="s">
        <v>287</v>
      </c>
    </row>
    <row r="34" spans="1:16" x14ac:dyDescent="0.3">
      <c r="A34" t="s">
        <v>183</v>
      </c>
      <c r="B34" t="s">
        <v>285</v>
      </c>
      <c r="C34" t="s">
        <v>600</v>
      </c>
      <c r="D34">
        <f>VALUE(LEFT(PublicationsTable[[#This Row],[file_name]],4))</f>
        <v>2010</v>
      </c>
      <c r="E34" t="s">
        <v>361</v>
      </c>
      <c r="F34" t="s">
        <v>362</v>
      </c>
      <c r="G34" t="s">
        <v>299</v>
      </c>
      <c r="H34">
        <v>45</v>
      </c>
      <c r="I34">
        <v>4</v>
      </c>
      <c r="J34" t="s">
        <v>363</v>
      </c>
      <c r="M34" t="s">
        <v>434</v>
      </c>
      <c r="O34" t="s">
        <v>49</v>
      </c>
      <c r="P34" t="s">
        <v>287</v>
      </c>
    </row>
    <row r="35" spans="1:16" x14ac:dyDescent="0.3">
      <c r="A35" t="s">
        <v>184</v>
      </c>
      <c r="B35" t="s">
        <v>285</v>
      </c>
      <c r="C35" t="s">
        <v>600</v>
      </c>
      <c r="D35">
        <f>VALUE(LEFT(PublicationsTable[[#This Row],[file_name]],4))</f>
        <v>2010</v>
      </c>
      <c r="E35" t="s">
        <v>364</v>
      </c>
      <c r="F35" t="s">
        <v>365</v>
      </c>
      <c r="G35" t="s">
        <v>366</v>
      </c>
      <c r="H35">
        <v>23</v>
      </c>
      <c r="I35">
        <v>3</v>
      </c>
      <c r="J35" t="s">
        <v>367</v>
      </c>
      <c r="L35" t="s">
        <v>617</v>
      </c>
      <c r="M35" t="s">
        <v>434</v>
      </c>
      <c r="O35" t="s">
        <v>50</v>
      </c>
      <c r="P35" t="s">
        <v>287</v>
      </c>
    </row>
    <row r="36" spans="1:16" x14ac:dyDescent="0.3">
      <c r="A36" t="s">
        <v>185</v>
      </c>
      <c r="B36" t="s">
        <v>285</v>
      </c>
      <c r="C36" t="s">
        <v>600</v>
      </c>
      <c r="D36">
        <f>VALUE(LEFT(PublicationsTable[[#This Row],[file_name]],4))</f>
        <v>2011</v>
      </c>
      <c r="E36" t="s">
        <v>368</v>
      </c>
      <c r="F36" t="s">
        <v>369</v>
      </c>
      <c r="G36" t="s">
        <v>299</v>
      </c>
      <c r="H36">
        <v>46</v>
      </c>
      <c r="I36">
        <v>3</v>
      </c>
      <c r="M36" t="s">
        <v>434</v>
      </c>
      <c r="O36" t="s">
        <v>51</v>
      </c>
      <c r="P36" t="s">
        <v>287</v>
      </c>
    </row>
    <row r="37" spans="1:16" x14ac:dyDescent="0.3">
      <c r="A37" t="s">
        <v>186</v>
      </c>
      <c r="B37" t="s">
        <v>285</v>
      </c>
      <c r="C37" t="s">
        <v>600</v>
      </c>
      <c r="D37">
        <f>VALUE(LEFT(PublicationsTable[[#This Row],[file_name]],4))</f>
        <v>2011</v>
      </c>
      <c r="E37" t="s">
        <v>370</v>
      </c>
      <c r="F37" t="s">
        <v>371</v>
      </c>
      <c r="G37" t="s">
        <v>299</v>
      </c>
      <c r="H37">
        <v>46</v>
      </c>
      <c r="I37">
        <v>4</v>
      </c>
      <c r="J37" t="s">
        <v>372</v>
      </c>
      <c r="M37" t="s">
        <v>434</v>
      </c>
      <c r="O37" t="s">
        <v>52</v>
      </c>
      <c r="P37" t="s">
        <v>287</v>
      </c>
    </row>
    <row r="38" spans="1:16" x14ac:dyDescent="0.3">
      <c r="A38" t="s">
        <v>187</v>
      </c>
      <c r="B38" t="s">
        <v>285</v>
      </c>
      <c r="C38" t="s">
        <v>601</v>
      </c>
      <c r="D38">
        <f>VALUE(LEFT(PublicationsTable[[#This Row],[file_name]],4))</f>
        <v>2011</v>
      </c>
      <c r="E38" t="s">
        <v>373</v>
      </c>
      <c r="F38" t="s">
        <v>374</v>
      </c>
      <c r="G38" t="s">
        <v>380</v>
      </c>
      <c r="H38">
        <v>12</v>
      </c>
      <c r="I38">
        <v>4</v>
      </c>
      <c r="M38" t="s">
        <v>434</v>
      </c>
      <c r="O38" t="s">
        <v>53</v>
      </c>
      <c r="P38" t="s">
        <v>287</v>
      </c>
    </row>
    <row r="39" spans="1:16" x14ac:dyDescent="0.3">
      <c r="A39" t="s">
        <v>188</v>
      </c>
      <c r="B39" t="s">
        <v>285</v>
      </c>
      <c r="C39" t="s">
        <v>600</v>
      </c>
      <c r="D39">
        <f>VALUE(LEFT(PublicationsTable[[#This Row],[file_name]],4))</f>
        <v>2012</v>
      </c>
      <c r="E39" t="s">
        <v>375</v>
      </c>
      <c r="F39" t="s">
        <v>376</v>
      </c>
      <c r="G39" t="s">
        <v>377</v>
      </c>
      <c r="H39">
        <v>28</v>
      </c>
      <c r="I39">
        <v>2</v>
      </c>
      <c r="M39" t="s">
        <v>434</v>
      </c>
      <c r="O39" t="s">
        <v>54</v>
      </c>
      <c r="P39" t="s">
        <v>287</v>
      </c>
    </row>
    <row r="40" spans="1:16" x14ac:dyDescent="0.3">
      <c r="A40" t="s">
        <v>189</v>
      </c>
      <c r="B40" t="s">
        <v>285</v>
      </c>
      <c r="C40" t="s">
        <v>601</v>
      </c>
      <c r="D40">
        <f>VALUE(LEFT(PublicationsTable[[#This Row],[file_name]],4))</f>
        <v>2012</v>
      </c>
      <c r="E40" t="s">
        <v>378</v>
      </c>
      <c r="F40" t="s">
        <v>379</v>
      </c>
      <c r="G40" t="s">
        <v>380</v>
      </c>
      <c r="H40">
        <v>13</v>
      </c>
      <c r="I40">
        <v>2</v>
      </c>
      <c r="M40" t="s">
        <v>434</v>
      </c>
      <c r="O40" t="s">
        <v>55</v>
      </c>
      <c r="P40" t="s">
        <v>287</v>
      </c>
    </row>
    <row r="41" spans="1:16" x14ac:dyDescent="0.3">
      <c r="A41" t="s">
        <v>190</v>
      </c>
      <c r="B41" t="s">
        <v>285</v>
      </c>
      <c r="C41" t="s">
        <v>600</v>
      </c>
      <c r="D41">
        <f>VALUE(LEFT(PublicationsTable[[#This Row],[file_name]],4))</f>
        <v>2012</v>
      </c>
      <c r="E41" t="s">
        <v>381</v>
      </c>
      <c r="F41" t="s">
        <v>382</v>
      </c>
      <c r="G41" t="s">
        <v>377</v>
      </c>
      <c r="H41">
        <v>28</v>
      </c>
      <c r="I41">
        <v>4</v>
      </c>
      <c r="M41" t="s">
        <v>434</v>
      </c>
      <c r="O41" t="s">
        <v>56</v>
      </c>
      <c r="P41" t="s">
        <v>287</v>
      </c>
    </row>
    <row r="42" spans="1:16" x14ac:dyDescent="0.3">
      <c r="A42" t="s">
        <v>191</v>
      </c>
      <c r="B42" t="s">
        <v>285</v>
      </c>
      <c r="C42" t="s">
        <v>600</v>
      </c>
      <c r="D42">
        <f>VALUE(LEFT(PublicationsTable[[#This Row],[file_name]],4))</f>
        <v>2012</v>
      </c>
      <c r="E42" t="s">
        <v>383</v>
      </c>
      <c r="F42" t="s">
        <v>384</v>
      </c>
      <c r="G42" t="s">
        <v>299</v>
      </c>
      <c r="H42">
        <v>47</v>
      </c>
      <c r="I42">
        <v>4</v>
      </c>
      <c r="M42" t="s">
        <v>434</v>
      </c>
      <c r="O42" t="s">
        <v>57</v>
      </c>
      <c r="P42" t="s">
        <v>287</v>
      </c>
    </row>
    <row r="43" spans="1:16" x14ac:dyDescent="0.3">
      <c r="A43" t="s">
        <v>192</v>
      </c>
      <c r="B43" t="s">
        <v>285</v>
      </c>
      <c r="C43" t="s">
        <v>600</v>
      </c>
      <c r="D43">
        <f>VALUE(LEFT(PublicationsTable[[#This Row],[file_name]],4))</f>
        <v>2012</v>
      </c>
      <c r="E43" t="s">
        <v>385</v>
      </c>
      <c r="F43" t="s">
        <v>386</v>
      </c>
      <c r="G43" t="s">
        <v>299</v>
      </c>
      <c r="H43">
        <v>47</v>
      </c>
      <c r="I43">
        <v>5</v>
      </c>
      <c r="M43" t="s">
        <v>434</v>
      </c>
      <c r="O43" t="s">
        <v>58</v>
      </c>
      <c r="P43" t="s">
        <v>287</v>
      </c>
    </row>
    <row r="44" spans="1:16" x14ac:dyDescent="0.3">
      <c r="A44" t="s">
        <v>193</v>
      </c>
      <c r="B44" t="s">
        <v>285</v>
      </c>
      <c r="C44" t="s">
        <v>600</v>
      </c>
      <c r="D44">
        <f>VALUE(LEFT(PublicationsTable[[#This Row],[file_name]],4))</f>
        <v>2012</v>
      </c>
      <c r="E44" t="s">
        <v>387</v>
      </c>
      <c r="F44" t="s">
        <v>388</v>
      </c>
      <c r="G44" t="s">
        <v>299</v>
      </c>
      <c r="H44">
        <v>47</v>
      </c>
      <c r="I44">
        <v>2</v>
      </c>
      <c r="M44" t="s">
        <v>434</v>
      </c>
      <c r="O44" t="s">
        <v>59</v>
      </c>
      <c r="P44" t="s">
        <v>287</v>
      </c>
    </row>
    <row r="45" spans="1:16" x14ac:dyDescent="0.3">
      <c r="A45" t="s">
        <v>194</v>
      </c>
      <c r="B45" t="s">
        <v>285</v>
      </c>
      <c r="C45" t="s">
        <v>600</v>
      </c>
      <c r="D45">
        <f>VALUE(LEFT(PublicationsTable[[#This Row],[file_name]],4))</f>
        <v>2012</v>
      </c>
      <c r="E45" t="s">
        <v>389</v>
      </c>
      <c r="F45" t="s">
        <v>390</v>
      </c>
      <c r="G45" t="s">
        <v>299</v>
      </c>
      <c r="H45">
        <v>47</v>
      </c>
      <c r="I45">
        <v>7</v>
      </c>
      <c r="M45" t="s">
        <v>434</v>
      </c>
      <c r="O45" t="s">
        <v>60</v>
      </c>
      <c r="P45" t="s">
        <v>287</v>
      </c>
    </row>
    <row r="46" spans="1:16" x14ac:dyDescent="0.3">
      <c r="A46" t="s">
        <v>195</v>
      </c>
      <c r="B46" t="s">
        <v>285</v>
      </c>
      <c r="C46" t="s">
        <v>600</v>
      </c>
      <c r="D46">
        <f>VALUE(LEFT(PublicationsTable[[#This Row],[file_name]],4))</f>
        <v>2012</v>
      </c>
      <c r="E46" t="s">
        <v>391</v>
      </c>
      <c r="F46" t="s">
        <v>392</v>
      </c>
      <c r="G46" t="s">
        <v>299</v>
      </c>
      <c r="H46">
        <v>47</v>
      </c>
      <c r="I46">
        <v>1</v>
      </c>
      <c r="M46" t="s">
        <v>434</v>
      </c>
      <c r="O46" t="s">
        <v>61</v>
      </c>
      <c r="P46" t="s">
        <v>287</v>
      </c>
    </row>
    <row r="47" spans="1:16" x14ac:dyDescent="0.3">
      <c r="A47" t="s">
        <v>196</v>
      </c>
      <c r="B47" t="s">
        <v>285</v>
      </c>
      <c r="C47" t="s">
        <v>600</v>
      </c>
      <c r="D47">
        <f>VALUE(LEFT(PublicationsTable[[#This Row],[file_name]],4))</f>
        <v>2013</v>
      </c>
      <c r="E47" t="s">
        <v>393</v>
      </c>
      <c r="F47" t="s">
        <v>394</v>
      </c>
      <c r="G47" t="s">
        <v>299</v>
      </c>
      <c r="H47">
        <v>48</v>
      </c>
      <c r="I47">
        <v>1</v>
      </c>
      <c r="M47" t="s">
        <v>434</v>
      </c>
      <c r="O47" t="s">
        <v>62</v>
      </c>
      <c r="P47" t="s">
        <v>287</v>
      </c>
    </row>
    <row r="48" spans="1:16" x14ac:dyDescent="0.3">
      <c r="A48" t="s">
        <v>197</v>
      </c>
      <c r="B48" t="s">
        <v>285</v>
      </c>
      <c r="C48" t="s">
        <v>601</v>
      </c>
      <c r="D48">
        <f>VALUE(LEFT(PublicationsTable[[#This Row],[file_name]],4))</f>
        <v>2013</v>
      </c>
      <c r="E48" t="s">
        <v>395</v>
      </c>
      <c r="F48" t="s">
        <v>396</v>
      </c>
      <c r="G48" t="s">
        <v>380</v>
      </c>
      <c r="H48">
        <v>14</v>
      </c>
      <c r="I48">
        <v>1</v>
      </c>
      <c r="M48" t="s">
        <v>434</v>
      </c>
      <c r="O48" t="s">
        <v>63</v>
      </c>
      <c r="P48" t="s">
        <v>287</v>
      </c>
    </row>
    <row r="49" spans="1:16" x14ac:dyDescent="0.3">
      <c r="A49" t="s">
        <v>198</v>
      </c>
      <c r="B49" t="s">
        <v>285</v>
      </c>
      <c r="C49" t="s">
        <v>600</v>
      </c>
      <c r="D49">
        <f>VALUE(LEFT(PublicationsTable[[#This Row],[file_name]],4))</f>
        <v>2013</v>
      </c>
      <c r="E49" t="s">
        <v>397</v>
      </c>
      <c r="F49" t="s">
        <v>398</v>
      </c>
      <c r="G49" t="s">
        <v>299</v>
      </c>
      <c r="H49">
        <v>48</v>
      </c>
      <c r="I49">
        <v>5</v>
      </c>
      <c r="M49" t="s">
        <v>434</v>
      </c>
      <c r="O49" t="s">
        <v>64</v>
      </c>
      <c r="P49" t="s">
        <v>287</v>
      </c>
    </row>
    <row r="50" spans="1:16" x14ac:dyDescent="0.3">
      <c r="A50" t="s">
        <v>199</v>
      </c>
      <c r="B50" t="s">
        <v>285</v>
      </c>
      <c r="C50" t="s">
        <v>600</v>
      </c>
      <c r="D50">
        <f>VALUE(LEFT(PublicationsTable[[#This Row],[file_name]],4))</f>
        <v>2013</v>
      </c>
      <c r="E50" t="s">
        <v>399</v>
      </c>
      <c r="F50" t="s">
        <v>400</v>
      </c>
      <c r="G50" t="s">
        <v>299</v>
      </c>
      <c r="H50">
        <v>48</v>
      </c>
      <c r="I50">
        <v>5</v>
      </c>
      <c r="M50" t="s">
        <v>434</v>
      </c>
      <c r="O50" t="s">
        <v>65</v>
      </c>
      <c r="P50" t="s">
        <v>287</v>
      </c>
    </row>
    <row r="51" spans="1:16" x14ac:dyDescent="0.3">
      <c r="A51" t="s">
        <v>200</v>
      </c>
      <c r="B51" t="s">
        <v>285</v>
      </c>
      <c r="C51" t="s">
        <v>600</v>
      </c>
      <c r="D51">
        <f>VALUE(LEFT(PublicationsTable[[#This Row],[file_name]],4))</f>
        <v>2013</v>
      </c>
      <c r="E51" t="s">
        <v>401</v>
      </c>
      <c r="F51" t="s">
        <v>402</v>
      </c>
      <c r="G51" t="s">
        <v>299</v>
      </c>
      <c r="H51">
        <v>48</v>
      </c>
      <c r="I51">
        <v>3</v>
      </c>
      <c r="M51" t="s">
        <v>434</v>
      </c>
      <c r="O51" t="s">
        <v>66</v>
      </c>
      <c r="P51" t="s">
        <v>287</v>
      </c>
    </row>
    <row r="52" spans="1:16" x14ac:dyDescent="0.3">
      <c r="A52" t="s">
        <v>201</v>
      </c>
      <c r="B52" t="s">
        <v>285</v>
      </c>
      <c r="C52" t="s">
        <v>601</v>
      </c>
      <c r="D52">
        <f>VALUE(LEFT(PublicationsTable[[#This Row],[file_name]],4))</f>
        <v>2013</v>
      </c>
      <c r="E52" t="s">
        <v>403</v>
      </c>
      <c r="F52" t="s">
        <v>404</v>
      </c>
      <c r="G52" t="s">
        <v>405</v>
      </c>
      <c r="H52">
        <v>14</v>
      </c>
      <c r="I52">
        <v>4</v>
      </c>
      <c r="M52" t="s">
        <v>434</v>
      </c>
      <c r="O52" t="s">
        <v>67</v>
      </c>
      <c r="P52" t="s">
        <v>287</v>
      </c>
    </row>
    <row r="53" spans="1:16" x14ac:dyDescent="0.3">
      <c r="A53" t="s">
        <v>202</v>
      </c>
      <c r="B53" t="s">
        <v>285</v>
      </c>
      <c r="C53" t="s">
        <v>601</v>
      </c>
      <c r="D53">
        <f>VALUE(LEFT(PublicationsTable[[#This Row],[file_name]],4))</f>
        <v>2014</v>
      </c>
      <c r="E53" t="s">
        <v>406</v>
      </c>
      <c r="F53" t="s">
        <v>407</v>
      </c>
      <c r="G53" t="s">
        <v>380</v>
      </c>
      <c r="H53">
        <v>15</v>
      </c>
      <c r="I53">
        <v>3</v>
      </c>
      <c r="M53" t="s">
        <v>434</v>
      </c>
      <c r="O53" t="s">
        <v>68</v>
      </c>
      <c r="P53" t="s">
        <v>287</v>
      </c>
    </row>
    <row r="54" spans="1:16" x14ac:dyDescent="0.3">
      <c r="A54" t="s">
        <v>203</v>
      </c>
      <c r="B54" t="s">
        <v>285</v>
      </c>
      <c r="C54" t="s">
        <v>600</v>
      </c>
      <c r="D54">
        <f>VALUE(LEFT(PublicationsTable[[#This Row],[file_name]],4))</f>
        <v>2014</v>
      </c>
      <c r="E54" t="s">
        <v>399</v>
      </c>
      <c r="F54" t="s">
        <v>408</v>
      </c>
      <c r="G54" t="s">
        <v>299</v>
      </c>
      <c r="H54">
        <v>49</v>
      </c>
      <c r="I54">
        <v>7</v>
      </c>
      <c r="L54" t="s">
        <v>664</v>
      </c>
      <c r="M54" t="s">
        <v>434</v>
      </c>
      <c r="O54" t="s">
        <v>69</v>
      </c>
      <c r="P54" t="s">
        <v>287</v>
      </c>
    </row>
    <row r="55" spans="1:16" x14ac:dyDescent="0.3">
      <c r="A55" t="s">
        <v>204</v>
      </c>
      <c r="B55" t="s">
        <v>285</v>
      </c>
      <c r="C55" t="s">
        <v>600</v>
      </c>
      <c r="D55">
        <f>VALUE(LEFT(PublicationsTable[[#This Row],[file_name]],4))</f>
        <v>2014</v>
      </c>
      <c r="E55" t="s">
        <v>409</v>
      </c>
      <c r="F55" t="s">
        <v>410</v>
      </c>
      <c r="G55" t="s">
        <v>299</v>
      </c>
      <c r="H55">
        <v>49</v>
      </c>
      <c r="I55">
        <v>8</v>
      </c>
      <c r="M55" t="s">
        <v>434</v>
      </c>
      <c r="O55" t="s">
        <v>70</v>
      </c>
      <c r="P55" t="s">
        <v>287</v>
      </c>
    </row>
    <row r="56" spans="1:16" x14ac:dyDescent="0.3">
      <c r="A56" t="s">
        <v>205</v>
      </c>
      <c r="B56" t="s">
        <v>285</v>
      </c>
      <c r="C56" t="s">
        <v>600</v>
      </c>
      <c r="D56">
        <f>VALUE(LEFT(PublicationsTable[[#This Row],[file_name]],4))</f>
        <v>2015</v>
      </c>
      <c r="E56" t="s">
        <v>411</v>
      </c>
      <c r="F56" t="s">
        <v>412</v>
      </c>
      <c r="G56" t="s">
        <v>299</v>
      </c>
      <c r="H56">
        <v>50</v>
      </c>
      <c r="I56">
        <v>2</v>
      </c>
      <c r="M56" t="s">
        <v>434</v>
      </c>
      <c r="O56" t="s">
        <v>71</v>
      </c>
      <c r="P56" t="s">
        <v>287</v>
      </c>
    </row>
    <row r="57" spans="1:16" x14ac:dyDescent="0.3">
      <c r="A57" t="s">
        <v>206</v>
      </c>
      <c r="B57" t="s">
        <v>285</v>
      </c>
      <c r="C57" t="s">
        <v>600</v>
      </c>
      <c r="D57">
        <f>VALUE(LEFT(PublicationsTable[[#This Row],[file_name]],4))</f>
        <v>2015</v>
      </c>
      <c r="E57" t="s">
        <v>413</v>
      </c>
      <c r="F57" t="s">
        <v>414</v>
      </c>
      <c r="G57" s="2" t="s">
        <v>299</v>
      </c>
      <c r="H57">
        <v>50</v>
      </c>
      <c r="I57">
        <v>5</v>
      </c>
      <c r="M57" t="s">
        <v>434</v>
      </c>
      <c r="O57" t="s">
        <v>72</v>
      </c>
      <c r="P57" t="s">
        <v>287</v>
      </c>
    </row>
    <row r="58" spans="1:16" x14ac:dyDescent="0.3">
      <c r="A58" t="s">
        <v>207</v>
      </c>
      <c r="B58" t="s">
        <v>285</v>
      </c>
      <c r="C58" t="s">
        <v>600</v>
      </c>
      <c r="D58">
        <f>VALUE(LEFT(PublicationsTable[[#This Row],[file_name]],4))</f>
        <v>2015</v>
      </c>
      <c r="E58" t="s">
        <v>346</v>
      </c>
      <c r="F58" t="s">
        <v>415</v>
      </c>
      <c r="G58" t="s">
        <v>366</v>
      </c>
      <c r="H58">
        <v>28</v>
      </c>
      <c r="I58">
        <v>2</v>
      </c>
      <c r="M58" t="s">
        <v>434</v>
      </c>
      <c r="O58" t="s">
        <v>73</v>
      </c>
      <c r="P58" t="s">
        <v>287</v>
      </c>
    </row>
    <row r="59" spans="1:16" x14ac:dyDescent="0.3">
      <c r="A59" t="s">
        <v>208</v>
      </c>
      <c r="B59" t="s">
        <v>285</v>
      </c>
      <c r="C59" t="s">
        <v>600</v>
      </c>
      <c r="D59">
        <f>VALUE(LEFT(PublicationsTable[[#This Row],[file_name]],4))</f>
        <v>2015</v>
      </c>
      <c r="E59" t="s">
        <v>416</v>
      </c>
      <c r="F59" t="s">
        <v>417</v>
      </c>
      <c r="G59" t="s">
        <v>299</v>
      </c>
      <c r="H59">
        <v>50</v>
      </c>
      <c r="I59">
        <v>3</v>
      </c>
      <c r="L59" t="s">
        <v>663</v>
      </c>
      <c r="M59" t="s">
        <v>434</v>
      </c>
      <c r="O59" t="s">
        <v>74</v>
      </c>
      <c r="P59" t="s">
        <v>287</v>
      </c>
    </row>
    <row r="60" spans="1:16" x14ac:dyDescent="0.3">
      <c r="A60" t="s">
        <v>209</v>
      </c>
      <c r="B60" t="s">
        <v>285</v>
      </c>
      <c r="C60" t="s">
        <v>600</v>
      </c>
      <c r="D60">
        <f>VALUE(LEFT(PublicationsTable[[#This Row],[file_name]],4))</f>
        <v>2015</v>
      </c>
      <c r="E60" t="s">
        <v>399</v>
      </c>
      <c r="F60" t="s">
        <v>418</v>
      </c>
      <c r="G60" t="s">
        <v>299</v>
      </c>
      <c r="H60">
        <v>50</v>
      </c>
      <c r="I60">
        <v>8</v>
      </c>
      <c r="L60" t="s">
        <v>662</v>
      </c>
      <c r="M60" t="s">
        <v>434</v>
      </c>
      <c r="O60" t="s">
        <v>75</v>
      </c>
      <c r="P60" t="s">
        <v>287</v>
      </c>
    </row>
    <row r="61" spans="1:16" x14ac:dyDescent="0.3">
      <c r="A61" t="s">
        <v>210</v>
      </c>
      <c r="B61" t="s">
        <v>285</v>
      </c>
      <c r="C61" t="s">
        <v>600</v>
      </c>
      <c r="D61">
        <f>VALUE(LEFT(PublicationsTable[[#This Row],[file_name]],4))</f>
        <v>2015</v>
      </c>
      <c r="E61" t="s">
        <v>419</v>
      </c>
      <c r="F61" t="s">
        <v>420</v>
      </c>
      <c r="G61" t="s">
        <v>299</v>
      </c>
      <c r="H61">
        <v>50</v>
      </c>
      <c r="I61">
        <v>3</v>
      </c>
      <c r="M61" t="s">
        <v>434</v>
      </c>
      <c r="O61" t="s">
        <v>76</v>
      </c>
      <c r="P61" t="s">
        <v>287</v>
      </c>
    </row>
    <row r="62" spans="1:16" x14ac:dyDescent="0.3">
      <c r="A62" t="s">
        <v>211</v>
      </c>
      <c r="B62" t="s">
        <v>285</v>
      </c>
      <c r="C62" t="s">
        <v>600</v>
      </c>
      <c r="D62">
        <f>VALUE(LEFT(PublicationsTable[[#This Row],[file_name]],4))</f>
        <v>2015</v>
      </c>
      <c r="E62" t="s">
        <v>389</v>
      </c>
      <c r="F62" t="s">
        <v>421</v>
      </c>
      <c r="G62" t="s">
        <v>422</v>
      </c>
      <c r="H62">
        <v>63</v>
      </c>
      <c r="M62" t="s">
        <v>434</v>
      </c>
      <c r="O62" t="s">
        <v>77</v>
      </c>
      <c r="P62" t="s">
        <v>287</v>
      </c>
    </row>
    <row r="63" spans="1:16" x14ac:dyDescent="0.3">
      <c r="A63" t="s">
        <v>212</v>
      </c>
      <c r="B63" t="s">
        <v>285</v>
      </c>
      <c r="C63" t="s">
        <v>600</v>
      </c>
      <c r="D63">
        <f>VALUE(LEFT(PublicationsTable[[#This Row],[file_name]],4))</f>
        <v>2015</v>
      </c>
      <c r="E63" t="s">
        <v>423</v>
      </c>
      <c r="F63" t="s">
        <v>424</v>
      </c>
      <c r="G63" t="s">
        <v>299</v>
      </c>
      <c r="H63">
        <v>50</v>
      </c>
      <c r="I63">
        <v>4</v>
      </c>
      <c r="M63" t="s">
        <v>434</v>
      </c>
      <c r="O63" t="s">
        <v>78</v>
      </c>
      <c r="P63" t="s">
        <v>287</v>
      </c>
    </row>
    <row r="64" spans="1:16" x14ac:dyDescent="0.3">
      <c r="A64" t="s">
        <v>213</v>
      </c>
      <c r="B64" t="s">
        <v>285</v>
      </c>
      <c r="C64" t="s">
        <v>600</v>
      </c>
      <c r="D64">
        <f>VALUE(LEFT(PublicationsTable[[#This Row],[file_name]],4))</f>
        <v>2016</v>
      </c>
      <c r="E64" t="s">
        <v>411</v>
      </c>
      <c r="F64" t="s">
        <v>425</v>
      </c>
      <c r="G64" t="s">
        <v>426</v>
      </c>
      <c r="H64">
        <v>28</v>
      </c>
      <c r="I64">
        <v>1</v>
      </c>
      <c r="M64" t="s">
        <v>434</v>
      </c>
      <c r="O64" t="s">
        <v>79</v>
      </c>
      <c r="P64" t="s">
        <v>287</v>
      </c>
    </row>
    <row r="65" spans="1:16" x14ac:dyDescent="0.3">
      <c r="A65" t="s">
        <v>214</v>
      </c>
      <c r="B65" t="s">
        <v>285</v>
      </c>
      <c r="C65" t="s">
        <v>600</v>
      </c>
      <c r="D65">
        <f>VALUE(LEFT(PublicationsTable[[#This Row],[file_name]],4))</f>
        <v>2016</v>
      </c>
      <c r="E65" t="s">
        <v>427</v>
      </c>
      <c r="F65" t="s">
        <v>428</v>
      </c>
      <c r="G65" t="s">
        <v>429</v>
      </c>
      <c r="H65">
        <v>17</v>
      </c>
      <c r="I65">
        <v>2</v>
      </c>
      <c r="M65" t="s">
        <v>434</v>
      </c>
      <c r="O65" t="s">
        <v>80</v>
      </c>
      <c r="P65" t="s">
        <v>287</v>
      </c>
    </row>
    <row r="66" spans="1:16" x14ac:dyDescent="0.3">
      <c r="A66" t="s">
        <v>215</v>
      </c>
      <c r="B66" t="s">
        <v>285</v>
      </c>
      <c r="C66" t="s">
        <v>600</v>
      </c>
      <c r="D66">
        <f>VALUE(LEFT(PublicationsTable[[#This Row],[file_name]],4))</f>
        <v>2016</v>
      </c>
      <c r="E66" t="s">
        <v>430</v>
      </c>
      <c r="F66" t="s">
        <v>431</v>
      </c>
      <c r="G66" t="s">
        <v>377</v>
      </c>
      <c r="H66">
        <v>32</v>
      </c>
      <c r="I66">
        <v>1</v>
      </c>
      <c r="M66" t="s">
        <v>434</v>
      </c>
      <c r="O66" t="s">
        <v>81</v>
      </c>
      <c r="P66" t="s">
        <v>287</v>
      </c>
    </row>
    <row r="67" spans="1:16" x14ac:dyDescent="0.3">
      <c r="A67" t="s">
        <v>216</v>
      </c>
      <c r="B67" t="s">
        <v>285</v>
      </c>
      <c r="C67" t="s">
        <v>600</v>
      </c>
      <c r="D67">
        <f>VALUE(LEFT(PublicationsTable[[#This Row],[file_name]],4))</f>
        <v>2016</v>
      </c>
      <c r="E67" t="s">
        <v>432</v>
      </c>
      <c r="F67" t="s">
        <v>433</v>
      </c>
      <c r="G67" t="s">
        <v>299</v>
      </c>
      <c r="H67">
        <v>51</v>
      </c>
      <c r="I67">
        <v>3</v>
      </c>
      <c r="M67" t="s">
        <v>434</v>
      </c>
      <c r="O67" t="s">
        <v>82</v>
      </c>
      <c r="P67" t="s">
        <v>287</v>
      </c>
    </row>
    <row r="68" spans="1:16" x14ac:dyDescent="0.3">
      <c r="A68" t="s">
        <v>217</v>
      </c>
      <c r="B68" t="s">
        <v>285</v>
      </c>
      <c r="C68" t="s">
        <v>601</v>
      </c>
      <c r="D68">
        <f>VALUE(LEFT(PublicationsTable[[#This Row],[file_name]],4))</f>
        <v>2016</v>
      </c>
      <c r="E68" t="s">
        <v>435</v>
      </c>
      <c r="F68" t="s">
        <v>436</v>
      </c>
      <c r="G68" t="s">
        <v>380</v>
      </c>
      <c r="H68">
        <v>17</v>
      </c>
      <c r="I68">
        <v>1</v>
      </c>
      <c r="M68" t="s">
        <v>434</v>
      </c>
      <c r="O68" t="s">
        <v>83</v>
      </c>
      <c r="P68" t="s">
        <v>287</v>
      </c>
    </row>
    <row r="69" spans="1:16" x14ac:dyDescent="0.3">
      <c r="A69" t="s">
        <v>218</v>
      </c>
      <c r="B69" t="s">
        <v>285</v>
      </c>
      <c r="C69" t="s">
        <v>600</v>
      </c>
      <c r="D69">
        <f>VALUE(LEFT(PublicationsTable[[#This Row],[file_name]],4))</f>
        <v>2016</v>
      </c>
      <c r="E69" t="s">
        <v>437</v>
      </c>
      <c r="F69" t="s">
        <v>438</v>
      </c>
      <c r="G69" t="s">
        <v>422</v>
      </c>
      <c r="H69">
        <v>65</v>
      </c>
      <c r="M69" t="s">
        <v>434</v>
      </c>
      <c r="O69" t="s">
        <v>84</v>
      </c>
      <c r="P69" t="s">
        <v>287</v>
      </c>
    </row>
    <row r="70" spans="1:16" x14ac:dyDescent="0.3">
      <c r="A70" t="s">
        <v>219</v>
      </c>
      <c r="B70" t="s">
        <v>285</v>
      </c>
      <c r="C70" t="s">
        <v>600</v>
      </c>
      <c r="D70">
        <f>VALUE(LEFT(PublicationsTable[[#This Row],[file_name]],4))</f>
        <v>2016</v>
      </c>
      <c r="E70" t="s">
        <v>349</v>
      </c>
      <c r="F70" t="s">
        <v>439</v>
      </c>
      <c r="G70" t="s">
        <v>422</v>
      </c>
      <c r="H70">
        <v>66</v>
      </c>
      <c r="M70" t="s">
        <v>434</v>
      </c>
      <c r="O70" t="s">
        <v>85</v>
      </c>
      <c r="P70" t="s">
        <v>287</v>
      </c>
    </row>
    <row r="71" spans="1:16" x14ac:dyDescent="0.3">
      <c r="A71" t="s">
        <v>220</v>
      </c>
      <c r="B71" t="s">
        <v>285</v>
      </c>
      <c r="C71" t="s">
        <v>601</v>
      </c>
      <c r="D71">
        <f>VALUE(LEFT(PublicationsTable[[#This Row],[file_name]],4))</f>
        <v>2016</v>
      </c>
      <c r="E71" t="s">
        <v>399</v>
      </c>
      <c r="F71" t="s">
        <v>440</v>
      </c>
      <c r="G71" t="s">
        <v>380</v>
      </c>
      <c r="H71">
        <v>17</v>
      </c>
      <c r="I71">
        <v>3</v>
      </c>
      <c r="M71" t="s">
        <v>434</v>
      </c>
      <c r="O71" t="s">
        <v>86</v>
      </c>
      <c r="P71" t="s">
        <v>287</v>
      </c>
    </row>
    <row r="72" spans="1:16" x14ac:dyDescent="0.3">
      <c r="A72" t="s">
        <v>221</v>
      </c>
      <c r="B72" t="s">
        <v>285</v>
      </c>
      <c r="C72" t="s">
        <v>600</v>
      </c>
      <c r="D72">
        <f>VALUE(LEFT(PublicationsTable[[#This Row],[file_name]],4))</f>
        <v>2016</v>
      </c>
      <c r="E72" t="s">
        <v>441</v>
      </c>
      <c r="F72" t="s">
        <v>442</v>
      </c>
      <c r="G72" t="s">
        <v>299</v>
      </c>
      <c r="H72">
        <v>51</v>
      </c>
      <c r="I72">
        <v>4</v>
      </c>
      <c r="M72" t="s">
        <v>434</v>
      </c>
      <c r="O72" t="s">
        <v>87</v>
      </c>
      <c r="P72" t="s">
        <v>287</v>
      </c>
    </row>
    <row r="73" spans="1:16" x14ac:dyDescent="0.3">
      <c r="A73" t="s">
        <v>222</v>
      </c>
      <c r="B73" t="s">
        <v>285</v>
      </c>
      <c r="C73" t="s">
        <v>600</v>
      </c>
      <c r="D73">
        <f>VALUE(LEFT(PublicationsTable[[#This Row],[file_name]],4))</f>
        <v>2016</v>
      </c>
      <c r="E73" t="s">
        <v>389</v>
      </c>
      <c r="F73" t="s">
        <v>443</v>
      </c>
      <c r="G73" t="s">
        <v>366</v>
      </c>
      <c r="H73">
        <v>29</v>
      </c>
      <c r="I73">
        <v>1</v>
      </c>
      <c r="L73" t="s">
        <v>665</v>
      </c>
      <c r="M73" t="s">
        <v>434</v>
      </c>
      <c r="O73" t="s">
        <v>88</v>
      </c>
      <c r="P73" t="s">
        <v>287</v>
      </c>
    </row>
    <row r="74" spans="1:16" x14ac:dyDescent="0.3">
      <c r="A74" t="s">
        <v>223</v>
      </c>
      <c r="B74" t="s">
        <v>285</v>
      </c>
      <c r="C74" t="s">
        <v>600</v>
      </c>
      <c r="D74">
        <f>VALUE(LEFT(PublicationsTable[[#This Row],[file_name]],4))</f>
        <v>2016</v>
      </c>
      <c r="E74" t="s">
        <v>444</v>
      </c>
      <c r="F74" t="s">
        <v>445</v>
      </c>
      <c r="G74" t="s">
        <v>299</v>
      </c>
      <c r="H74">
        <v>51</v>
      </c>
      <c r="I74">
        <v>7</v>
      </c>
      <c r="L74" t="s">
        <v>667</v>
      </c>
      <c r="M74" t="s">
        <v>434</v>
      </c>
      <c r="O74" t="s">
        <v>89</v>
      </c>
      <c r="P74" t="s">
        <v>287</v>
      </c>
    </row>
    <row r="75" spans="1:16" x14ac:dyDescent="0.3">
      <c r="A75" t="s">
        <v>224</v>
      </c>
      <c r="B75" t="s">
        <v>285</v>
      </c>
      <c r="C75" t="s">
        <v>600</v>
      </c>
      <c r="D75">
        <f>VALUE(LEFT(PublicationsTable[[#This Row],[file_name]],4))</f>
        <v>2017</v>
      </c>
      <c r="E75" t="s">
        <v>446</v>
      </c>
      <c r="F75" t="s">
        <v>447</v>
      </c>
      <c r="G75" t="s">
        <v>299</v>
      </c>
      <c r="H75">
        <v>52</v>
      </c>
      <c r="I75">
        <v>6</v>
      </c>
      <c r="L75" t="s">
        <v>666</v>
      </c>
      <c r="M75" t="s">
        <v>434</v>
      </c>
      <c r="O75" t="s">
        <v>90</v>
      </c>
      <c r="P75" t="s">
        <v>287</v>
      </c>
    </row>
    <row r="76" spans="1:16" x14ac:dyDescent="0.3">
      <c r="A76" t="s">
        <v>225</v>
      </c>
      <c r="B76" t="s">
        <v>285</v>
      </c>
      <c r="C76" t="s">
        <v>600</v>
      </c>
      <c r="D76">
        <f>VALUE(LEFT(PublicationsTable[[#This Row],[file_name]],4))</f>
        <v>2017</v>
      </c>
      <c r="E76" t="s">
        <v>448</v>
      </c>
      <c r="F76" t="s">
        <v>449</v>
      </c>
      <c r="G76" t="s">
        <v>299</v>
      </c>
      <c r="H76">
        <v>52</v>
      </c>
      <c r="I76">
        <v>4</v>
      </c>
      <c r="M76" t="s">
        <v>434</v>
      </c>
      <c r="O76" t="s">
        <v>91</v>
      </c>
      <c r="P76" t="s">
        <v>287</v>
      </c>
    </row>
    <row r="77" spans="1:16" x14ac:dyDescent="0.3">
      <c r="A77" t="s">
        <v>226</v>
      </c>
      <c r="B77" t="s">
        <v>285</v>
      </c>
      <c r="C77" t="s">
        <v>600</v>
      </c>
      <c r="D77">
        <f>VALUE(LEFT(PublicationsTable[[#This Row],[file_name]],4))</f>
        <v>2017</v>
      </c>
      <c r="E77" t="s">
        <v>450</v>
      </c>
      <c r="F77" t="s">
        <v>451</v>
      </c>
      <c r="G77" t="s">
        <v>366</v>
      </c>
      <c r="H77">
        <v>30</v>
      </c>
      <c r="I77">
        <v>1</v>
      </c>
      <c r="M77" t="s">
        <v>434</v>
      </c>
      <c r="O77" t="s">
        <v>92</v>
      </c>
      <c r="P77" t="s">
        <v>287</v>
      </c>
    </row>
    <row r="78" spans="1:16" x14ac:dyDescent="0.3">
      <c r="A78" t="s">
        <v>227</v>
      </c>
      <c r="B78" t="s">
        <v>285</v>
      </c>
      <c r="C78" t="s">
        <v>600</v>
      </c>
      <c r="D78">
        <f>VALUE(LEFT(PublicationsTable[[#This Row],[file_name]],4))</f>
        <v>2017</v>
      </c>
      <c r="E78" t="s">
        <v>452</v>
      </c>
      <c r="F78" t="s">
        <v>453</v>
      </c>
      <c r="G78" t="s">
        <v>299</v>
      </c>
      <c r="H78">
        <v>52</v>
      </c>
      <c r="I78">
        <v>1</v>
      </c>
      <c r="M78" t="s">
        <v>434</v>
      </c>
      <c r="O78" t="s">
        <v>93</v>
      </c>
      <c r="P78" t="s">
        <v>287</v>
      </c>
    </row>
    <row r="79" spans="1:16" x14ac:dyDescent="0.3">
      <c r="A79" t="s">
        <v>228</v>
      </c>
      <c r="B79" t="s">
        <v>285</v>
      </c>
      <c r="C79" t="s">
        <v>600</v>
      </c>
      <c r="D79">
        <f>VALUE(LEFT(PublicationsTable[[#This Row],[file_name]],4))</f>
        <v>2018</v>
      </c>
      <c r="E79" t="s">
        <v>454</v>
      </c>
      <c r="F79" t="s">
        <v>455</v>
      </c>
      <c r="G79" t="s">
        <v>299</v>
      </c>
      <c r="H79">
        <v>53</v>
      </c>
      <c r="I79">
        <v>2</v>
      </c>
      <c r="M79" t="s">
        <v>434</v>
      </c>
      <c r="O79" t="s">
        <v>94</v>
      </c>
      <c r="P79" t="s">
        <v>287</v>
      </c>
    </row>
    <row r="80" spans="1:16" x14ac:dyDescent="0.3">
      <c r="A80" t="s">
        <v>229</v>
      </c>
      <c r="B80" t="s">
        <v>285</v>
      </c>
      <c r="C80" t="s">
        <v>600</v>
      </c>
      <c r="D80">
        <f>VALUE(LEFT(PublicationsTable[[#This Row],[file_name]],4))</f>
        <v>2018</v>
      </c>
      <c r="E80" t="s">
        <v>349</v>
      </c>
      <c r="F80" t="s">
        <v>456</v>
      </c>
      <c r="G80" t="s">
        <v>457</v>
      </c>
      <c r="H80">
        <v>24</v>
      </c>
      <c r="I80">
        <v>2</v>
      </c>
      <c r="J80" t="s">
        <v>357</v>
      </c>
      <c r="M80" t="s">
        <v>434</v>
      </c>
      <c r="O80" t="s">
        <v>95</v>
      </c>
      <c r="P80" t="s">
        <v>287</v>
      </c>
    </row>
    <row r="81" spans="1:17" x14ac:dyDescent="0.3">
      <c r="A81" t="s">
        <v>230</v>
      </c>
      <c r="B81" t="s">
        <v>285</v>
      </c>
      <c r="C81" t="s">
        <v>600</v>
      </c>
      <c r="D81">
        <f>VALUE(LEFT(PublicationsTable[[#This Row],[file_name]],4))</f>
        <v>2018</v>
      </c>
      <c r="E81" t="s">
        <v>399</v>
      </c>
      <c r="F81" t="s">
        <v>458</v>
      </c>
      <c r="G81" t="s">
        <v>422</v>
      </c>
      <c r="H81">
        <v>73</v>
      </c>
      <c r="M81" t="s">
        <v>434</v>
      </c>
      <c r="O81" t="s">
        <v>96</v>
      </c>
      <c r="P81" t="s">
        <v>287</v>
      </c>
    </row>
    <row r="82" spans="1:17" x14ac:dyDescent="0.3">
      <c r="A82" t="s">
        <v>231</v>
      </c>
      <c r="B82" t="s">
        <v>285</v>
      </c>
      <c r="C82" t="s">
        <v>600</v>
      </c>
      <c r="D82">
        <f>VALUE(LEFT(PublicationsTable[[#This Row],[file_name]],4))</f>
        <v>2018</v>
      </c>
      <c r="E82" t="s">
        <v>459</v>
      </c>
      <c r="F82" t="s">
        <v>460</v>
      </c>
      <c r="G82" t="s">
        <v>299</v>
      </c>
      <c r="H82">
        <v>53</v>
      </c>
      <c r="I82">
        <v>6</v>
      </c>
      <c r="M82" t="s">
        <v>434</v>
      </c>
      <c r="O82" t="s">
        <v>97</v>
      </c>
      <c r="P82" t="s">
        <v>287</v>
      </c>
    </row>
    <row r="83" spans="1:17" x14ac:dyDescent="0.3">
      <c r="A83" t="s">
        <v>232</v>
      </c>
      <c r="B83" t="s">
        <v>285</v>
      </c>
      <c r="C83" t="s">
        <v>600</v>
      </c>
      <c r="D83">
        <f>VALUE(LEFT(PublicationsTable[[#This Row],[file_name]],4))</f>
        <v>2018</v>
      </c>
      <c r="E83" t="s">
        <v>461</v>
      </c>
      <c r="F83" t="s">
        <v>462</v>
      </c>
      <c r="G83" t="s">
        <v>463</v>
      </c>
      <c r="H83">
        <v>32</v>
      </c>
      <c r="I83">
        <v>6</v>
      </c>
      <c r="M83" t="s">
        <v>434</v>
      </c>
      <c r="O83" t="s">
        <v>98</v>
      </c>
      <c r="P83" t="s">
        <v>287</v>
      </c>
    </row>
    <row r="84" spans="1:17" x14ac:dyDescent="0.3">
      <c r="A84" t="s">
        <v>233</v>
      </c>
      <c r="B84" t="s">
        <v>285</v>
      </c>
      <c r="C84" t="s">
        <v>467</v>
      </c>
      <c r="D84">
        <f>VALUE(LEFT(PublicationsTable[[#This Row],[file_name]],4))</f>
        <v>2019</v>
      </c>
      <c r="E84" t="s">
        <v>464</v>
      </c>
      <c r="F84" t="s">
        <v>465</v>
      </c>
      <c r="G84" t="s">
        <v>466</v>
      </c>
      <c r="H84">
        <v>50</v>
      </c>
      <c r="J84" t="s">
        <v>468</v>
      </c>
      <c r="M84" t="s">
        <v>434</v>
      </c>
      <c r="O84" t="s">
        <v>99</v>
      </c>
      <c r="P84" t="s">
        <v>287</v>
      </c>
    </row>
    <row r="85" spans="1:17" x14ac:dyDescent="0.3">
      <c r="A85" t="s">
        <v>234</v>
      </c>
      <c r="B85" t="s">
        <v>285</v>
      </c>
      <c r="C85" t="s">
        <v>600</v>
      </c>
      <c r="D85">
        <f>VALUE(LEFT(PublicationsTable[[#This Row],[file_name]],4))</f>
        <v>2019</v>
      </c>
      <c r="E85" t="s">
        <v>437</v>
      </c>
      <c r="F85" t="s">
        <v>469</v>
      </c>
      <c r="G85" t="s">
        <v>299</v>
      </c>
      <c r="H85">
        <v>54</v>
      </c>
      <c r="I85">
        <v>4</v>
      </c>
      <c r="M85" t="s">
        <v>434</v>
      </c>
      <c r="O85" t="s">
        <v>100</v>
      </c>
      <c r="P85" t="s">
        <v>287</v>
      </c>
    </row>
    <row r="86" spans="1:17" x14ac:dyDescent="0.3">
      <c r="A86" t="s">
        <v>235</v>
      </c>
      <c r="B86" t="s">
        <v>285</v>
      </c>
      <c r="C86" t="s">
        <v>600</v>
      </c>
      <c r="D86">
        <f>VALUE(LEFT(PublicationsTable[[#This Row],[file_name]],4))</f>
        <v>2019</v>
      </c>
      <c r="E86" t="s">
        <v>437</v>
      </c>
      <c r="F86" t="s">
        <v>471</v>
      </c>
      <c r="G86" t="s">
        <v>299</v>
      </c>
      <c r="H86">
        <v>54</v>
      </c>
      <c r="I86">
        <v>3</v>
      </c>
      <c r="M86" t="s">
        <v>434</v>
      </c>
      <c r="O86" t="s">
        <v>101</v>
      </c>
      <c r="P86" t="s">
        <v>287</v>
      </c>
    </row>
    <row r="87" spans="1:17" x14ac:dyDescent="0.3">
      <c r="A87" t="s">
        <v>236</v>
      </c>
      <c r="B87" t="s">
        <v>285</v>
      </c>
      <c r="C87" t="s">
        <v>600</v>
      </c>
      <c r="D87">
        <f>VALUE(LEFT(PublicationsTable[[#This Row],[file_name]],4))</f>
        <v>2019</v>
      </c>
      <c r="E87" t="s">
        <v>472</v>
      </c>
      <c r="F87" t="s">
        <v>473</v>
      </c>
      <c r="G87" t="s">
        <v>299</v>
      </c>
      <c r="H87">
        <v>54</v>
      </c>
      <c r="I87">
        <v>3</v>
      </c>
      <c r="M87" t="s">
        <v>434</v>
      </c>
      <c r="O87" t="s">
        <v>102</v>
      </c>
      <c r="P87" t="s">
        <v>287</v>
      </c>
    </row>
    <row r="88" spans="1:17" x14ac:dyDescent="0.3">
      <c r="A88" t="s">
        <v>237</v>
      </c>
      <c r="B88" t="s">
        <v>285</v>
      </c>
      <c r="C88" t="s">
        <v>600</v>
      </c>
      <c r="D88">
        <f>VALUE(LEFT(PublicationsTable[[#This Row],[file_name]],4))</f>
        <v>2020</v>
      </c>
      <c r="E88" t="s">
        <v>474</v>
      </c>
      <c r="F88" t="s">
        <v>475</v>
      </c>
      <c r="G88" t="s">
        <v>299</v>
      </c>
      <c r="H88">
        <v>55</v>
      </c>
      <c r="I88">
        <v>6</v>
      </c>
      <c r="M88" t="s">
        <v>434</v>
      </c>
      <c r="O88" t="s">
        <v>103</v>
      </c>
      <c r="P88" t="s">
        <v>287</v>
      </c>
    </row>
    <row r="89" spans="1:17" x14ac:dyDescent="0.3">
      <c r="A89" t="s">
        <v>238</v>
      </c>
      <c r="B89" t="s">
        <v>285</v>
      </c>
      <c r="C89" t="s">
        <v>600</v>
      </c>
      <c r="D89">
        <f>VALUE(LEFT(PublicationsTable[[#This Row],[file_name]],4))</f>
        <v>2020</v>
      </c>
      <c r="E89" t="s">
        <v>476</v>
      </c>
      <c r="F89" t="s">
        <v>478</v>
      </c>
      <c r="G89" t="s">
        <v>299</v>
      </c>
      <c r="H89">
        <v>55</v>
      </c>
      <c r="I89">
        <v>1</v>
      </c>
      <c r="J89" t="s">
        <v>479</v>
      </c>
      <c r="M89" t="s">
        <v>434</v>
      </c>
      <c r="O89" t="s">
        <v>104</v>
      </c>
      <c r="P89" t="s">
        <v>287</v>
      </c>
    </row>
    <row r="90" spans="1:17" x14ac:dyDescent="0.3">
      <c r="A90" t="s">
        <v>239</v>
      </c>
      <c r="B90" t="s">
        <v>285</v>
      </c>
      <c r="C90" t="s">
        <v>600</v>
      </c>
      <c r="D90">
        <f>VALUE(LEFT(PublicationsTable[[#This Row],[file_name]],4))</f>
        <v>2020</v>
      </c>
      <c r="E90" t="s">
        <v>480</v>
      </c>
      <c r="F90" t="s">
        <v>481</v>
      </c>
      <c r="G90" t="s">
        <v>482</v>
      </c>
      <c r="H90">
        <v>11</v>
      </c>
      <c r="I90">
        <v>2</v>
      </c>
      <c r="J90" t="s">
        <v>483</v>
      </c>
      <c r="L90" t="s">
        <v>685</v>
      </c>
      <c r="M90" t="s">
        <v>434</v>
      </c>
      <c r="O90" t="s">
        <v>105</v>
      </c>
      <c r="P90" t="s">
        <v>287</v>
      </c>
    </row>
    <row r="91" spans="1:17" x14ac:dyDescent="0.3">
      <c r="A91" t="s">
        <v>240</v>
      </c>
      <c r="B91" t="s">
        <v>285</v>
      </c>
      <c r="C91" t="s">
        <v>600</v>
      </c>
      <c r="D91">
        <f>VALUE(LEFT(PublicationsTable[[#This Row],[file_name]],4))</f>
        <v>2020</v>
      </c>
      <c r="E91" t="s">
        <v>484</v>
      </c>
      <c r="F91" t="s">
        <v>485</v>
      </c>
      <c r="G91" t="s">
        <v>426</v>
      </c>
      <c r="H91">
        <v>32</v>
      </c>
      <c r="I91">
        <v>1</v>
      </c>
      <c r="J91" t="s">
        <v>486</v>
      </c>
      <c r="L91" s="4" t="s">
        <v>684</v>
      </c>
      <c r="M91" t="s">
        <v>434</v>
      </c>
      <c r="O91" t="s">
        <v>106</v>
      </c>
      <c r="P91" t="s">
        <v>287</v>
      </c>
    </row>
    <row r="92" spans="1:17" x14ac:dyDescent="0.3">
      <c r="A92" t="s">
        <v>241</v>
      </c>
      <c r="B92" t="s">
        <v>285</v>
      </c>
      <c r="C92" t="s">
        <v>467</v>
      </c>
      <c r="D92">
        <f>VALUE(LEFT(PublicationsTable[[#This Row],[file_name]],4))</f>
        <v>2021</v>
      </c>
      <c r="E92" t="s">
        <v>487</v>
      </c>
      <c r="F92" t="s">
        <v>488</v>
      </c>
      <c r="G92" t="s">
        <v>489</v>
      </c>
      <c r="H92">
        <v>147</v>
      </c>
      <c r="I92">
        <v>2</v>
      </c>
      <c r="L92" t="s">
        <v>683</v>
      </c>
      <c r="M92" t="s">
        <v>434</v>
      </c>
      <c r="O92" t="s">
        <v>107</v>
      </c>
      <c r="P92" t="s">
        <v>287</v>
      </c>
    </row>
    <row r="93" spans="1:17" x14ac:dyDescent="0.3">
      <c r="A93" t="s">
        <v>242</v>
      </c>
      <c r="B93" t="s">
        <v>285</v>
      </c>
      <c r="C93" t="s">
        <v>600</v>
      </c>
      <c r="D93">
        <f>VALUE(LEFT(PublicationsTable[[#This Row],[file_name]],4))</f>
        <v>2021</v>
      </c>
      <c r="E93" t="s">
        <v>490</v>
      </c>
      <c r="F93" t="s">
        <v>491</v>
      </c>
      <c r="G93" t="s">
        <v>299</v>
      </c>
      <c r="H93">
        <v>56</v>
      </c>
      <c r="I93">
        <v>4</v>
      </c>
      <c r="J93" t="s">
        <v>492</v>
      </c>
      <c r="L93" t="s">
        <v>672</v>
      </c>
      <c r="M93" t="s">
        <v>434</v>
      </c>
      <c r="O93" t="s">
        <v>108</v>
      </c>
      <c r="P93" t="s">
        <v>287</v>
      </c>
      <c r="Q93" t="s">
        <v>674</v>
      </c>
    </row>
    <row r="94" spans="1:17" x14ac:dyDescent="0.3">
      <c r="A94" t="s">
        <v>243</v>
      </c>
      <c r="B94" t="s">
        <v>285</v>
      </c>
      <c r="C94" t="s">
        <v>600</v>
      </c>
      <c r="D94">
        <f>VALUE(LEFT(PublicationsTable[[#This Row],[file_name]],4))</f>
        <v>2021</v>
      </c>
      <c r="E94" t="s">
        <v>470</v>
      </c>
      <c r="F94" t="s">
        <v>494</v>
      </c>
      <c r="G94" t="s">
        <v>299</v>
      </c>
      <c r="H94">
        <v>56</v>
      </c>
      <c r="I94">
        <v>1</v>
      </c>
      <c r="L94" t="s">
        <v>675</v>
      </c>
      <c r="M94" t="s">
        <v>434</v>
      </c>
      <c r="O94" t="s">
        <v>493</v>
      </c>
      <c r="P94" t="s">
        <v>287</v>
      </c>
      <c r="Q94" t="s">
        <v>676</v>
      </c>
    </row>
    <row r="95" spans="1:17" x14ac:dyDescent="0.3">
      <c r="A95" t="s">
        <v>244</v>
      </c>
      <c r="B95" t="s">
        <v>285</v>
      </c>
      <c r="C95" t="s">
        <v>600</v>
      </c>
      <c r="D95">
        <f>VALUE(LEFT(PublicationsTable[[#This Row],[file_name]],4))</f>
        <v>2021</v>
      </c>
      <c r="E95" t="s">
        <v>477</v>
      </c>
      <c r="F95" t="s">
        <v>496</v>
      </c>
      <c r="G95" t="s">
        <v>299</v>
      </c>
      <c r="H95">
        <v>56</v>
      </c>
      <c r="I95">
        <v>1</v>
      </c>
      <c r="L95" t="s">
        <v>677</v>
      </c>
      <c r="M95" t="s">
        <v>434</v>
      </c>
      <c r="O95" t="s">
        <v>495</v>
      </c>
      <c r="P95" t="s">
        <v>287</v>
      </c>
    </row>
    <row r="96" spans="1:17" x14ac:dyDescent="0.3">
      <c r="A96" t="s">
        <v>245</v>
      </c>
      <c r="B96" t="s">
        <v>285</v>
      </c>
      <c r="C96" t="s">
        <v>600</v>
      </c>
      <c r="D96">
        <f>VALUE(LEFT(PublicationsTable[[#This Row],[file_name]],4))</f>
        <v>2021</v>
      </c>
      <c r="E96" t="s">
        <v>498</v>
      </c>
      <c r="F96" t="s">
        <v>499</v>
      </c>
      <c r="G96" t="s">
        <v>299</v>
      </c>
      <c r="H96">
        <v>56</v>
      </c>
      <c r="I96">
        <v>7</v>
      </c>
      <c r="J96" s="3" t="s">
        <v>502</v>
      </c>
      <c r="L96" t="s">
        <v>671</v>
      </c>
      <c r="M96" t="s">
        <v>434</v>
      </c>
      <c r="O96" t="s">
        <v>497</v>
      </c>
      <c r="P96" t="s">
        <v>287</v>
      </c>
      <c r="Q96" t="s">
        <v>673</v>
      </c>
    </row>
    <row r="97" spans="1:17" x14ac:dyDescent="0.3">
      <c r="A97" t="s">
        <v>246</v>
      </c>
      <c r="B97" t="s">
        <v>285</v>
      </c>
      <c r="C97" t="s">
        <v>600</v>
      </c>
      <c r="D97">
        <f>VALUE(LEFT(PublicationsTable[[#This Row],[file_name]],4))</f>
        <v>2021</v>
      </c>
      <c r="E97" t="s">
        <v>500</v>
      </c>
      <c r="F97" t="s">
        <v>501</v>
      </c>
      <c r="G97" t="s">
        <v>299</v>
      </c>
      <c r="H97">
        <v>56</v>
      </c>
      <c r="I97">
        <v>4</v>
      </c>
      <c r="J97" s="3" t="s">
        <v>502</v>
      </c>
      <c r="M97" t="s">
        <v>287</v>
      </c>
      <c r="O97" t="s">
        <v>112</v>
      </c>
      <c r="P97" t="s">
        <v>287</v>
      </c>
    </row>
    <row r="98" spans="1:17" x14ac:dyDescent="0.3">
      <c r="A98" t="s">
        <v>247</v>
      </c>
      <c r="B98" t="s">
        <v>285</v>
      </c>
      <c r="C98" t="s">
        <v>600</v>
      </c>
      <c r="D98">
        <f>VALUE(LEFT(PublicationsTable[[#This Row],[file_name]],4))</f>
        <v>2021</v>
      </c>
      <c r="E98" t="s">
        <v>503</v>
      </c>
      <c r="F98" t="s">
        <v>504</v>
      </c>
      <c r="G98" t="s">
        <v>482</v>
      </c>
      <c r="H98">
        <v>12</v>
      </c>
      <c r="I98">
        <v>2</v>
      </c>
      <c r="J98" t="s">
        <v>505</v>
      </c>
      <c r="L98" t="s">
        <v>668</v>
      </c>
      <c r="M98" t="s">
        <v>434</v>
      </c>
      <c r="O98" t="s">
        <v>113</v>
      </c>
      <c r="P98" t="s">
        <v>287</v>
      </c>
    </row>
    <row r="99" spans="1:17" x14ac:dyDescent="0.3">
      <c r="A99" t="s">
        <v>248</v>
      </c>
      <c r="B99" t="s">
        <v>285</v>
      </c>
      <c r="C99" t="s">
        <v>600</v>
      </c>
      <c r="D99">
        <f>VALUE(LEFT(PublicationsTable[[#This Row],[file_name]],4))</f>
        <v>2021</v>
      </c>
      <c r="E99" t="s">
        <v>503</v>
      </c>
      <c r="F99" t="s">
        <v>506</v>
      </c>
      <c r="G99" t="s">
        <v>299</v>
      </c>
      <c r="H99">
        <v>56</v>
      </c>
      <c r="I99">
        <v>5</v>
      </c>
      <c r="J99" s="3" t="s">
        <v>507</v>
      </c>
      <c r="L99" t="s">
        <v>669</v>
      </c>
      <c r="M99" t="s">
        <v>434</v>
      </c>
      <c r="O99" t="s">
        <v>114</v>
      </c>
      <c r="P99" t="s">
        <v>287</v>
      </c>
    </row>
    <row r="100" spans="1:17" x14ac:dyDescent="0.3">
      <c r="A100" t="s">
        <v>249</v>
      </c>
      <c r="B100" t="s">
        <v>285</v>
      </c>
      <c r="C100" t="s">
        <v>600</v>
      </c>
      <c r="D100">
        <f>VALUE(LEFT(PublicationsTable[[#This Row],[file_name]],4))</f>
        <v>2021</v>
      </c>
      <c r="E100" t="s">
        <v>508</v>
      </c>
      <c r="F100" t="s">
        <v>509</v>
      </c>
      <c r="G100" t="s">
        <v>299</v>
      </c>
      <c r="H100">
        <v>56</v>
      </c>
      <c r="I100">
        <v>7</v>
      </c>
      <c r="J100" s="1" t="s">
        <v>502</v>
      </c>
      <c r="M100" t="s">
        <v>287</v>
      </c>
      <c r="O100" t="s">
        <v>670</v>
      </c>
      <c r="P100" t="s">
        <v>287</v>
      </c>
    </row>
    <row r="101" spans="1:17" x14ac:dyDescent="0.3">
      <c r="A101" t="s">
        <v>250</v>
      </c>
      <c r="B101" t="s">
        <v>285</v>
      </c>
      <c r="C101" t="s">
        <v>600</v>
      </c>
      <c r="D101">
        <f>VALUE(LEFT(PublicationsTable[[#This Row],[file_name]],4))</f>
        <v>2021</v>
      </c>
      <c r="E101" t="s">
        <v>510</v>
      </c>
      <c r="F101" t="s">
        <v>511</v>
      </c>
      <c r="G101" t="s">
        <v>299</v>
      </c>
      <c r="H101">
        <v>56</v>
      </c>
      <c r="I101">
        <v>1</v>
      </c>
      <c r="J101" s="1" t="s">
        <v>512</v>
      </c>
      <c r="M101" t="s">
        <v>287</v>
      </c>
      <c r="O101" t="s">
        <v>116</v>
      </c>
      <c r="P101" t="s">
        <v>287</v>
      </c>
    </row>
    <row r="102" spans="1:17" x14ac:dyDescent="0.3">
      <c r="A102" t="s">
        <v>251</v>
      </c>
      <c r="B102" t="s">
        <v>285</v>
      </c>
      <c r="C102" t="s">
        <v>600</v>
      </c>
      <c r="D102">
        <f>VALUE(LEFT(PublicationsTable[[#This Row],[file_name]],4))</f>
        <v>2021</v>
      </c>
      <c r="E102" t="s">
        <v>513</v>
      </c>
      <c r="F102" t="s">
        <v>514</v>
      </c>
      <c r="G102" t="s">
        <v>482</v>
      </c>
      <c r="H102">
        <v>12</v>
      </c>
      <c r="I102">
        <v>3</v>
      </c>
      <c r="J102" t="s">
        <v>515</v>
      </c>
      <c r="L102" t="s">
        <v>682</v>
      </c>
      <c r="M102" t="s">
        <v>434</v>
      </c>
      <c r="O102" t="s">
        <v>117</v>
      </c>
      <c r="P102" t="s">
        <v>287</v>
      </c>
    </row>
    <row r="103" spans="1:17" x14ac:dyDescent="0.3">
      <c r="A103" t="s">
        <v>252</v>
      </c>
      <c r="B103" t="s">
        <v>285</v>
      </c>
      <c r="C103" t="s">
        <v>600</v>
      </c>
      <c r="D103">
        <f>VALUE(LEFT(PublicationsTable[[#This Row],[file_name]],4))</f>
        <v>2021</v>
      </c>
      <c r="E103" t="s">
        <v>516</v>
      </c>
      <c r="F103" t="s">
        <v>517</v>
      </c>
      <c r="G103" t="s">
        <v>299</v>
      </c>
      <c r="H103">
        <v>56</v>
      </c>
      <c r="I103">
        <v>2</v>
      </c>
      <c r="J103" s="1" t="s">
        <v>512</v>
      </c>
      <c r="M103" t="s">
        <v>287</v>
      </c>
      <c r="O103" t="s">
        <v>118</v>
      </c>
      <c r="P103" t="s">
        <v>287</v>
      </c>
      <c r="Q103" t="s">
        <v>678</v>
      </c>
    </row>
    <row r="104" spans="1:17" x14ac:dyDescent="0.3">
      <c r="A104" t="s">
        <v>253</v>
      </c>
      <c r="B104" t="s">
        <v>285</v>
      </c>
      <c r="C104" t="s">
        <v>600</v>
      </c>
      <c r="D104">
        <f>VALUE(LEFT(PublicationsTable[[#This Row],[file_name]],4))</f>
        <v>2021</v>
      </c>
      <c r="E104" t="s">
        <v>518</v>
      </c>
      <c r="F104" t="s">
        <v>521</v>
      </c>
      <c r="G104" t="s">
        <v>299</v>
      </c>
      <c r="H104">
        <v>56</v>
      </c>
      <c r="I104">
        <v>6</v>
      </c>
      <c r="J104" t="s">
        <v>522</v>
      </c>
      <c r="L104" t="s">
        <v>681</v>
      </c>
      <c r="M104" t="s">
        <v>434</v>
      </c>
      <c r="O104" t="s">
        <v>119</v>
      </c>
      <c r="P104" t="s">
        <v>287</v>
      </c>
    </row>
    <row r="105" spans="1:17" x14ac:dyDescent="0.3">
      <c r="A105" t="s">
        <v>254</v>
      </c>
      <c r="B105" t="s">
        <v>285</v>
      </c>
      <c r="C105" t="s">
        <v>600</v>
      </c>
      <c r="D105">
        <f>VALUE(LEFT(PublicationsTable[[#This Row],[file_name]],4))</f>
        <v>2021</v>
      </c>
      <c r="E105" t="s">
        <v>476</v>
      </c>
      <c r="F105" t="s">
        <v>519</v>
      </c>
      <c r="G105" t="s">
        <v>299</v>
      </c>
      <c r="H105">
        <v>56</v>
      </c>
      <c r="I105">
        <v>5</v>
      </c>
      <c r="J105" t="s">
        <v>520</v>
      </c>
      <c r="L105" t="s">
        <v>679</v>
      </c>
      <c r="M105" t="s">
        <v>434</v>
      </c>
      <c r="O105" t="s">
        <v>120</v>
      </c>
      <c r="P105" t="s">
        <v>287</v>
      </c>
    </row>
    <row r="106" spans="1:17" x14ac:dyDescent="0.3">
      <c r="A106" t="s">
        <v>255</v>
      </c>
      <c r="B106" t="s">
        <v>285</v>
      </c>
      <c r="C106" t="s">
        <v>600</v>
      </c>
      <c r="D106">
        <f>VALUE(LEFT(PublicationsTable[[#This Row],[file_name]],4))</f>
        <v>2021</v>
      </c>
      <c r="E106" t="s">
        <v>523</v>
      </c>
      <c r="F106" t="s">
        <v>524</v>
      </c>
      <c r="G106" t="s">
        <v>482</v>
      </c>
      <c r="H106">
        <v>12</v>
      </c>
      <c r="I106">
        <v>2</v>
      </c>
      <c r="J106" t="s">
        <v>525</v>
      </c>
      <c r="L106" t="s">
        <v>680</v>
      </c>
      <c r="M106" t="s">
        <v>434</v>
      </c>
      <c r="O106" t="s">
        <v>121</v>
      </c>
      <c r="P106" t="s">
        <v>287</v>
      </c>
    </row>
    <row r="107" spans="1:17" x14ac:dyDescent="0.3">
      <c r="A107" t="s">
        <v>256</v>
      </c>
      <c r="B107" t="s">
        <v>285</v>
      </c>
      <c r="C107" t="s">
        <v>600</v>
      </c>
      <c r="D107">
        <f>VALUE(LEFT(PublicationsTable[[#This Row],[file_name]],4))</f>
        <v>2022</v>
      </c>
      <c r="E107" t="s">
        <v>526</v>
      </c>
      <c r="F107" t="s">
        <v>527</v>
      </c>
      <c r="G107" t="s">
        <v>299</v>
      </c>
      <c r="H107">
        <v>57</v>
      </c>
      <c r="I107">
        <v>4</v>
      </c>
      <c r="L107" t="s">
        <v>661</v>
      </c>
      <c r="M107" t="s">
        <v>434</v>
      </c>
      <c r="O107" t="s">
        <v>122</v>
      </c>
      <c r="P107" t="s">
        <v>287</v>
      </c>
    </row>
    <row r="108" spans="1:17" x14ac:dyDescent="0.3">
      <c r="A108" t="s">
        <v>257</v>
      </c>
      <c r="B108" t="s">
        <v>285</v>
      </c>
      <c r="C108" t="s">
        <v>600</v>
      </c>
      <c r="D108">
        <f>VALUE(LEFT(PublicationsTable[[#This Row],[file_name]],4))</f>
        <v>2022</v>
      </c>
      <c r="E108" t="s">
        <v>528</v>
      </c>
      <c r="F108" t="s">
        <v>529</v>
      </c>
      <c r="G108" t="s">
        <v>299</v>
      </c>
      <c r="H108">
        <v>57</v>
      </c>
      <c r="I108">
        <v>5</v>
      </c>
      <c r="J108" t="s">
        <v>530</v>
      </c>
      <c r="L108" t="s">
        <v>660</v>
      </c>
      <c r="M108" t="s">
        <v>434</v>
      </c>
      <c r="O108" t="s">
        <v>123</v>
      </c>
      <c r="P108" t="s">
        <v>287</v>
      </c>
    </row>
    <row r="109" spans="1:17" x14ac:dyDescent="0.3">
      <c r="A109" t="s">
        <v>258</v>
      </c>
      <c r="B109" t="s">
        <v>285</v>
      </c>
      <c r="C109" t="s">
        <v>600</v>
      </c>
      <c r="D109">
        <f>VALUE(LEFT(PublicationsTable[[#This Row],[file_name]],4))</f>
        <v>2022</v>
      </c>
      <c r="E109" t="s">
        <v>531</v>
      </c>
      <c r="F109" t="s">
        <v>532</v>
      </c>
      <c r="G109" t="s">
        <v>533</v>
      </c>
      <c r="H109">
        <v>13</v>
      </c>
      <c r="I109">
        <v>4</v>
      </c>
      <c r="J109" t="s">
        <v>534</v>
      </c>
      <c r="L109" t="s">
        <v>659</v>
      </c>
      <c r="M109" t="s">
        <v>434</v>
      </c>
      <c r="O109" t="s">
        <v>124</v>
      </c>
      <c r="P109" t="s">
        <v>287</v>
      </c>
    </row>
    <row r="110" spans="1:17" x14ac:dyDescent="0.3">
      <c r="A110" t="s">
        <v>259</v>
      </c>
      <c r="B110" t="s">
        <v>285</v>
      </c>
      <c r="C110" t="s">
        <v>600</v>
      </c>
      <c r="D110">
        <f>VALUE(LEFT(PublicationsTable[[#This Row],[file_name]],4))</f>
        <v>2022</v>
      </c>
      <c r="E110" t="s">
        <v>535</v>
      </c>
      <c r="F110" t="s">
        <v>536</v>
      </c>
      <c r="G110" t="s">
        <v>299</v>
      </c>
      <c r="H110">
        <v>57</v>
      </c>
      <c r="I110">
        <v>4</v>
      </c>
      <c r="L110" s="4" t="s">
        <v>658</v>
      </c>
      <c r="M110" t="s">
        <v>434</v>
      </c>
      <c r="O110" t="s">
        <v>125</v>
      </c>
      <c r="P110" t="s">
        <v>287</v>
      </c>
    </row>
    <row r="111" spans="1:17" x14ac:dyDescent="0.3">
      <c r="A111" t="s">
        <v>260</v>
      </c>
      <c r="B111" t="s">
        <v>285</v>
      </c>
      <c r="C111" t="s">
        <v>600</v>
      </c>
      <c r="D111">
        <f>VALUE(LEFT(PublicationsTable[[#This Row],[file_name]],4))</f>
        <v>2022</v>
      </c>
      <c r="E111" t="s">
        <v>389</v>
      </c>
      <c r="F111" t="s">
        <v>537</v>
      </c>
      <c r="G111" t="s">
        <v>366</v>
      </c>
      <c r="H111">
        <v>35</v>
      </c>
      <c r="I111">
        <v>1</v>
      </c>
      <c r="L111" s="4" t="s">
        <v>657</v>
      </c>
      <c r="M111" t="s">
        <v>434</v>
      </c>
      <c r="O111" t="s">
        <v>126</v>
      </c>
      <c r="P111" t="s">
        <v>287</v>
      </c>
    </row>
    <row r="112" spans="1:17" x14ac:dyDescent="0.3">
      <c r="A112" t="s">
        <v>261</v>
      </c>
      <c r="B112" t="s">
        <v>285</v>
      </c>
      <c r="C112" t="s">
        <v>600</v>
      </c>
      <c r="D112">
        <f>VALUE(LEFT(PublicationsTable[[#This Row],[file_name]],4))</f>
        <v>2022</v>
      </c>
      <c r="E112" t="s">
        <v>538</v>
      </c>
      <c r="F112" t="s">
        <v>539</v>
      </c>
      <c r="G112" t="s">
        <v>540</v>
      </c>
      <c r="H112">
        <v>3</v>
      </c>
      <c r="I112">
        <v>1</v>
      </c>
      <c r="J112" t="s">
        <v>541</v>
      </c>
      <c r="L112" t="s">
        <v>656</v>
      </c>
      <c r="M112" t="s">
        <v>434</v>
      </c>
      <c r="O112" t="s">
        <v>127</v>
      </c>
      <c r="P112" t="s">
        <v>287</v>
      </c>
    </row>
    <row r="113" spans="1:17" x14ac:dyDescent="0.3">
      <c r="A113" t="s">
        <v>262</v>
      </c>
      <c r="B113" t="s">
        <v>285</v>
      </c>
      <c r="C113" t="s">
        <v>600</v>
      </c>
      <c r="D113">
        <f>VALUE(LEFT(PublicationsTable[[#This Row],[file_name]],4))</f>
        <v>2022</v>
      </c>
      <c r="E113" t="s">
        <v>538</v>
      </c>
      <c r="F113" t="s">
        <v>542</v>
      </c>
      <c r="G113" t="s">
        <v>426</v>
      </c>
      <c r="H113">
        <v>34</v>
      </c>
      <c r="I113">
        <v>1</v>
      </c>
      <c r="J113" t="s">
        <v>543</v>
      </c>
      <c r="L113" t="s">
        <v>655</v>
      </c>
      <c r="M113" t="s">
        <v>434</v>
      </c>
      <c r="O113" t="s">
        <v>128</v>
      </c>
      <c r="P113" t="s">
        <v>287</v>
      </c>
    </row>
    <row r="114" spans="1:17" x14ac:dyDescent="0.3">
      <c r="A114" t="s">
        <v>263</v>
      </c>
      <c r="B114" t="s">
        <v>285</v>
      </c>
      <c r="C114" t="s">
        <v>600</v>
      </c>
      <c r="D114">
        <f>VALUE(LEFT(PublicationsTable[[#This Row],[file_name]],4))</f>
        <v>2022</v>
      </c>
      <c r="E114" t="s">
        <v>544</v>
      </c>
      <c r="F114" t="s">
        <v>545</v>
      </c>
      <c r="G114" t="s">
        <v>299</v>
      </c>
      <c r="H114">
        <v>57</v>
      </c>
      <c r="I114">
        <v>1</v>
      </c>
      <c r="J114" t="s">
        <v>546</v>
      </c>
      <c r="L114" t="s">
        <v>654</v>
      </c>
      <c r="M114" t="s">
        <v>434</v>
      </c>
      <c r="O114" t="s">
        <v>129</v>
      </c>
      <c r="P114" t="s">
        <v>287</v>
      </c>
    </row>
    <row r="115" spans="1:17" x14ac:dyDescent="0.3">
      <c r="A115" t="s">
        <v>264</v>
      </c>
      <c r="B115" t="s">
        <v>285</v>
      </c>
      <c r="C115" t="s">
        <v>600</v>
      </c>
      <c r="D115">
        <f>VALUE(LEFT(PublicationsTable[[#This Row],[file_name]],4))</f>
        <v>2022</v>
      </c>
      <c r="E115" t="s">
        <v>544</v>
      </c>
      <c r="F115" t="s">
        <v>547</v>
      </c>
      <c r="G115" t="s">
        <v>533</v>
      </c>
      <c r="H115">
        <v>13</v>
      </c>
      <c r="I115">
        <v>3</v>
      </c>
      <c r="L115" t="s">
        <v>653</v>
      </c>
      <c r="M115" t="s">
        <v>434</v>
      </c>
      <c r="O115" t="s">
        <v>130</v>
      </c>
      <c r="P115" t="s">
        <v>287</v>
      </c>
    </row>
    <row r="116" spans="1:17" x14ac:dyDescent="0.3">
      <c r="A116" t="s">
        <v>265</v>
      </c>
      <c r="B116" t="s">
        <v>285</v>
      </c>
      <c r="C116" t="s">
        <v>600</v>
      </c>
      <c r="D116">
        <f>VALUE(LEFT(PublicationsTable[[#This Row],[file_name]],4))</f>
        <v>2022</v>
      </c>
      <c r="E116" t="s">
        <v>484</v>
      </c>
      <c r="F116" t="s">
        <v>548</v>
      </c>
      <c r="G116" t="s">
        <v>533</v>
      </c>
      <c r="H116">
        <v>13</v>
      </c>
      <c r="I116">
        <v>1</v>
      </c>
      <c r="L116" t="s">
        <v>652</v>
      </c>
      <c r="M116" t="s">
        <v>434</v>
      </c>
      <c r="O116" t="s">
        <v>131</v>
      </c>
      <c r="P116" t="s">
        <v>287</v>
      </c>
    </row>
    <row r="117" spans="1:17" x14ac:dyDescent="0.3">
      <c r="A117" t="s">
        <v>266</v>
      </c>
      <c r="B117" t="s">
        <v>285</v>
      </c>
      <c r="C117" t="s">
        <v>600</v>
      </c>
      <c r="D117">
        <f>VALUE(LEFT(PublicationsTable[[#This Row],[file_name]],4))</f>
        <v>2023</v>
      </c>
      <c r="E117" t="s">
        <v>454</v>
      </c>
      <c r="F117" t="s">
        <v>549</v>
      </c>
      <c r="G117" t="s">
        <v>533</v>
      </c>
      <c r="H117">
        <v>14</v>
      </c>
      <c r="I117">
        <v>4</v>
      </c>
      <c r="J117" t="s">
        <v>550</v>
      </c>
      <c r="L117" t="s">
        <v>651</v>
      </c>
      <c r="M117" t="s">
        <v>434</v>
      </c>
      <c r="O117" t="s">
        <v>132</v>
      </c>
      <c r="P117" t="s">
        <v>287</v>
      </c>
    </row>
    <row r="118" spans="1:17" x14ac:dyDescent="0.3">
      <c r="A118" t="s">
        <v>267</v>
      </c>
      <c r="B118" t="s">
        <v>285</v>
      </c>
      <c r="C118" t="s">
        <v>600</v>
      </c>
      <c r="D118">
        <f>VALUE(LEFT(PublicationsTable[[#This Row],[file_name]],4))</f>
        <v>2023</v>
      </c>
      <c r="E118" t="s">
        <v>551</v>
      </c>
      <c r="F118" t="s">
        <v>552</v>
      </c>
      <c r="G118" t="s">
        <v>299</v>
      </c>
      <c r="H118">
        <v>58</v>
      </c>
      <c r="I118">
        <v>4</v>
      </c>
      <c r="J118" t="s">
        <v>553</v>
      </c>
      <c r="L118" t="s">
        <v>650</v>
      </c>
      <c r="M118" t="s">
        <v>434</v>
      </c>
      <c r="O118" t="s">
        <v>133</v>
      </c>
      <c r="P118" t="s">
        <v>287</v>
      </c>
    </row>
    <row r="119" spans="1:17" x14ac:dyDescent="0.3">
      <c r="A119" t="s">
        <v>268</v>
      </c>
      <c r="B119" t="s">
        <v>285</v>
      </c>
      <c r="C119" t="s">
        <v>600</v>
      </c>
      <c r="D119">
        <f>VALUE(LEFT(PublicationsTable[[#This Row],[file_name]],4))</f>
        <v>2023</v>
      </c>
      <c r="E119" t="s">
        <v>554</v>
      </c>
      <c r="F119" t="s">
        <v>555</v>
      </c>
      <c r="G119" t="s">
        <v>299</v>
      </c>
      <c r="H119">
        <v>58</v>
      </c>
      <c r="I119">
        <v>3</v>
      </c>
      <c r="J119" t="s">
        <v>556</v>
      </c>
      <c r="L119" t="s">
        <v>649</v>
      </c>
      <c r="M119" t="s">
        <v>434</v>
      </c>
      <c r="O119" t="s">
        <v>134</v>
      </c>
      <c r="P119" t="s">
        <v>287</v>
      </c>
    </row>
    <row r="120" spans="1:17" x14ac:dyDescent="0.3">
      <c r="A120" t="s">
        <v>269</v>
      </c>
      <c r="B120" t="s">
        <v>285</v>
      </c>
      <c r="C120" t="s">
        <v>600</v>
      </c>
      <c r="D120">
        <f>VALUE(LEFT(PublicationsTable[[#This Row],[file_name]],4))</f>
        <v>2023</v>
      </c>
      <c r="E120" t="s">
        <v>557</v>
      </c>
      <c r="F120" t="s">
        <v>558</v>
      </c>
      <c r="G120" t="s">
        <v>559</v>
      </c>
      <c r="H120">
        <v>39</v>
      </c>
      <c r="I120">
        <v>7</v>
      </c>
      <c r="J120" t="s">
        <v>560</v>
      </c>
      <c r="L120" t="s">
        <v>648</v>
      </c>
      <c r="M120" t="s">
        <v>434</v>
      </c>
      <c r="O120" t="s">
        <v>135</v>
      </c>
      <c r="P120" t="s">
        <v>287</v>
      </c>
    </row>
    <row r="121" spans="1:17" x14ac:dyDescent="0.3">
      <c r="A121" t="s">
        <v>270</v>
      </c>
      <c r="B121" t="s">
        <v>285</v>
      </c>
      <c r="C121" t="s">
        <v>600</v>
      </c>
      <c r="D121">
        <f>VALUE(LEFT(PublicationsTable[[#This Row],[file_name]],4))</f>
        <v>2023</v>
      </c>
      <c r="E121" t="s">
        <v>561</v>
      </c>
      <c r="F121" t="s">
        <v>562</v>
      </c>
      <c r="G121" t="s">
        <v>299</v>
      </c>
      <c r="H121">
        <v>58</v>
      </c>
      <c r="I121">
        <v>1</v>
      </c>
      <c r="J121" t="s">
        <v>563</v>
      </c>
      <c r="L121" t="s">
        <v>647</v>
      </c>
      <c r="M121" t="s">
        <v>434</v>
      </c>
      <c r="O121" t="s">
        <v>136</v>
      </c>
      <c r="P121" t="s">
        <v>287</v>
      </c>
    </row>
    <row r="122" spans="1:17" x14ac:dyDescent="0.3">
      <c r="A122" t="s">
        <v>271</v>
      </c>
      <c r="B122" t="s">
        <v>285</v>
      </c>
      <c r="C122" t="s">
        <v>600</v>
      </c>
      <c r="D122">
        <f>VALUE(LEFT(PublicationsTable[[#This Row],[file_name]],4))</f>
        <v>2023</v>
      </c>
      <c r="E122" t="s">
        <v>484</v>
      </c>
      <c r="F122" t="s">
        <v>564</v>
      </c>
      <c r="G122" t="s">
        <v>299</v>
      </c>
      <c r="H122">
        <v>58</v>
      </c>
      <c r="I122">
        <v>2</v>
      </c>
      <c r="J122" t="s">
        <v>565</v>
      </c>
      <c r="L122" s="4" t="s">
        <v>646</v>
      </c>
      <c r="M122" t="s">
        <v>434</v>
      </c>
      <c r="O122" t="s">
        <v>137</v>
      </c>
      <c r="P122" t="s">
        <v>287</v>
      </c>
    </row>
    <row r="123" spans="1:17" x14ac:dyDescent="0.3">
      <c r="A123" t="s">
        <v>272</v>
      </c>
      <c r="B123" t="s">
        <v>285</v>
      </c>
      <c r="C123" t="s">
        <v>600</v>
      </c>
      <c r="D123">
        <f>VALUE(LEFT(PublicationsTable[[#This Row],[file_name]],4))</f>
        <v>2023</v>
      </c>
      <c r="E123" t="s">
        <v>566</v>
      </c>
      <c r="F123" t="s">
        <v>567</v>
      </c>
      <c r="G123" t="s">
        <v>533</v>
      </c>
      <c r="H123">
        <v>14</v>
      </c>
      <c r="I123">
        <v>1</v>
      </c>
      <c r="J123" t="s">
        <v>568</v>
      </c>
      <c r="L123" t="s">
        <v>645</v>
      </c>
      <c r="M123" t="s">
        <v>434</v>
      </c>
      <c r="O123" t="s">
        <v>138</v>
      </c>
      <c r="P123" t="s">
        <v>287</v>
      </c>
    </row>
    <row r="124" spans="1:17" x14ac:dyDescent="0.3">
      <c r="A124" t="s">
        <v>273</v>
      </c>
      <c r="B124" t="s">
        <v>285</v>
      </c>
      <c r="C124" t="s">
        <v>600</v>
      </c>
      <c r="D124">
        <f>VALUE(LEFT(PublicationsTable[[#This Row],[file_name]],4))</f>
        <v>2024</v>
      </c>
      <c r="E124" t="s">
        <v>569</v>
      </c>
      <c r="F124" t="s">
        <v>570</v>
      </c>
      <c r="G124" t="s">
        <v>533</v>
      </c>
      <c r="H124">
        <v>15</v>
      </c>
      <c r="I124">
        <v>4</v>
      </c>
      <c r="J124" t="s">
        <v>571</v>
      </c>
      <c r="L124" s="4" t="s">
        <v>644</v>
      </c>
      <c r="M124" t="s">
        <v>434</v>
      </c>
      <c r="O124" t="s">
        <v>139</v>
      </c>
      <c r="P124" t="s">
        <v>287</v>
      </c>
    </row>
    <row r="125" spans="1:17" x14ac:dyDescent="0.3">
      <c r="A125" t="s">
        <v>274</v>
      </c>
      <c r="B125" t="s">
        <v>285</v>
      </c>
      <c r="C125" t="s">
        <v>600</v>
      </c>
      <c r="D125">
        <f>VALUE(LEFT(PublicationsTable[[#This Row],[file_name]],4))</f>
        <v>2024</v>
      </c>
      <c r="E125" t="s">
        <v>572</v>
      </c>
      <c r="F125" t="s">
        <v>573</v>
      </c>
      <c r="G125" t="s">
        <v>533</v>
      </c>
      <c r="H125">
        <v>15</v>
      </c>
      <c r="I125">
        <v>4</v>
      </c>
      <c r="J125" t="s">
        <v>574</v>
      </c>
      <c r="L125" t="s">
        <v>643</v>
      </c>
      <c r="M125" t="s">
        <v>434</v>
      </c>
      <c r="O125" t="s">
        <v>140</v>
      </c>
      <c r="P125" t="s">
        <v>287</v>
      </c>
    </row>
    <row r="126" spans="1:17" x14ac:dyDescent="0.3">
      <c r="A126" t="s">
        <v>275</v>
      </c>
      <c r="B126" t="s">
        <v>285</v>
      </c>
      <c r="C126" t="s">
        <v>467</v>
      </c>
      <c r="D126">
        <f>VALUE(LEFT(PublicationsTable[[#This Row],[file_name]],4))</f>
        <v>2024</v>
      </c>
      <c r="E126" t="s">
        <v>575</v>
      </c>
      <c r="F126" t="s">
        <v>576</v>
      </c>
      <c r="G126" t="s">
        <v>577</v>
      </c>
      <c r="H126">
        <v>150</v>
      </c>
      <c r="L126" t="s">
        <v>642</v>
      </c>
      <c r="M126" t="s">
        <v>434</v>
      </c>
      <c r="O126" t="s">
        <v>141</v>
      </c>
      <c r="P126" t="s">
        <v>287</v>
      </c>
    </row>
    <row r="127" spans="1:17" x14ac:dyDescent="0.3">
      <c r="A127" t="s">
        <v>276</v>
      </c>
      <c r="B127" t="s">
        <v>285</v>
      </c>
      <c r="C127" t="s">
        <v>600</v>
      </c>
      <c r="D127">
        <f>VALUE(LEFT(PublicationsTable[[#This Row],[file_name]],4))</f>
        <v>2024</v>
      </c>
      <c r="E127" t="s">
        <v>557</v>
      </c>
      <c r="F127" t="s">
        <v>578</v>
      </c>
      <c r="G127" t="s">
        <v>533</v>
      </c>
      <c r="H127">
        <v>15</v>
      </c>
      <c r="I127">
        <v>2</v>
      </c>
      <c r="J127" t="s">
        <v>579</v>
      </c>
      <c r="L127" t="s">
        <v>641</v>
      </c>
      <c r="M127" t="s">
        <v>434</v>
      </c>
      <c r="O127" t="s">
        <v>142</v>
      </c>
      <c r="P127" t="s">
        <v>287</v>
      </c>
      <c r="Q127" t="s">
        <v>293</v>
      </c>
    </row>
    <row r="128" spans="1:17" x14ac:dyDescent="0.3">
      <c r="A128" t="s">
        <v>277</v>
      </c>
      <c r="B128" t="s">
        <v>285</v>
      </c>
      <c r="C128" t="s">
        <v>600</v>
      </c>
      <c r="D128">
        <f>VALUE(LEFT(PublicationsTable[[#This Row],[file_name]],4))</f>
        <v>2024</v>
      </c>
      <c r="E128" t="s">
        <v>557</v>
      </c>
      <c r="F128" t="s">
        <v>580</v>
      </c>
      <c r="G128" t="s">
        <v>299</v>
      </c>
      <c r="H128">
        <v>59</v>
      </c>
      <c r="I128">
        <v>6</v>
      </c>
      <c r="L128" t="s">
        <v>640</v>
      </c>
      <c r="M128" t="s">
        <v>434</v>
      </c>
      <c r="O128" t="s">
        <v>143</v>
      </c>
      <c r="P128" t="s">
        <v>287</v>
      </c>
      <c r="Q128" t="s">
        <v>292</v>
      </c>
    </row>
    <row r="129" spans="1:16" x14ac:dyDescent="0.3">
      <c r="A129" t="s">
        <v>278</v>
      </c>
      <c r="B129" t="s">
        <v>285</v>
      </c>
      <c r="C129" t="s">
        <v>600</v>
      </c>
      <c r="D129">
        <f>VALUE(LEFT(PublicationsTable[[#This Row],[file_name]],4))</f>
        <v>2024</v>
      </c>
      <c r="E129" t="s">
        <v>581</v>
      </c>
      <c r="F129" t="s">
        <v>582</v>
      </c>
      <c r="G129" t="s">
        <v>533</v>
      </c>
      <c r="H129">
        <v>15</v>
      </c>
      <c r="I129">
        <v>3</v>
      </c>
      <c r="J129" s="3" t="s">
        <v>583</v>
      </c>
      <c r="L129" t="s">
        <v>639</v>
      </c>
      <c r="M129" t="s">
        <v>434</v>
      </c>
      <c r="O129" t="s">
        <v>144</v>
      </c>
      <c r="P129" t="s">
        <v>288</v>
      </c>
    </row>
    <row r="130" spans="1:16" x14ac:dyDescent="0.3">
      <c r="A130" t="s">
        <v>279</v>
      </c>
      <c r="B130" t="s">
        <v>285</v>
      </c>
      <c r="C130" t="s">
        <v>600</v>
      </c>
      <c r="D130">
        <f>VALUE(LEFT(PublicationsTable[[#This Row],[file_name]],4))</f>
        <v>2025</v>
      </c>
      <c r="E130" t="s">
        <v>584</v>
      </c>
      <c r="F130" t="s">
        <v>585</v>
      </c>
      <c r="G130" t="s">
        <v>533</v>
      </c>
      <c r="H130">
        <v>16</v>
      </c>
      <c r="I130">
        <v>3</v>
      </c>
      <c r="J130" t="s">
        <v>586</v>
      </c>
      <c r="L130" s="4" t="s">
        <v>638</v>
      </c>
      <c r="M130" t="s">
        <v>434</v>
      </c>
      <c r="O130" t="s">
        <v>145</v>
      </c>
      <c r="P130" t="s">
        <v>287</v>
      </c>
    </row>
    <row r="131" spans="1:16" x14ac:dyDescent="0.3">
      <c r="A131" t="s">
        <v>280</v>
      </c>
      <c r="B131" t="s">
        <v>285</v>
      </c>
      <c r="C131" t="s">
        <v>600</v>
      </c>
      <c r="D131">
        <f>VALUE(LEFT(PublicationsTable[[#This Row],[file_name]],4))</f>
        <v>2025</v>
      </c>
      <c r="E131" t="s">
        <v>587</v>
      </c>
      <c r="F131" t="s">
        <v>588</v>
      </c>
      <c r="G131" t="s">
        <v>533</v>
      </c>
      <c r="H131">
        <v>16</v>
      </c>
      <c r="I131">
        <v>4</v>
      </c>
      <c r="J131" t="s">
        <v>486</v>
      </c>
      <c r="L131" t="s">
        <v>637</v>
      </c>
      <c r="M131" t="s">
        <v>434</v>
      </c>
      <c r="O131" t="s">
        <v>146</v>
      </c>
      <c r="P131" t="s">
        <v>287</v>
      </c>
    </row>
    <row r="132" spans="1:16" x14ac:dyDescent="0.3">
      <c r="A132" t="s">
        <v>281</v>
      </c>
      <c r="B132" t="s">
        <v>285</v>
      </c>
      <c r="C132" t="s">
        <v>600</v>
      </c>
      <c r="D132">
        <f>VALUE(LEFT(PublicationsTable[[#This Row],[file_name]],4))</f>
        <v>2025</v>
      </c>
      <c r="E132" t="s">
        <v>589</v>
      </c>
      <c r="F132" t="s">
        <v>590</v>
      </c>
      <c r="G132" t="s">
        <v>591</v>
      </c>
      <c r="H132">
        <v>125</v>
      </c>
      <c r="J132" t="s">
        <v>592</v>
      </c>
      <c r="L132" t="s">
        <v>636</v>
      </c>
      <c r="M132" t="s">
        <v>434</v>
      </c>
      <c r="O132" t="s">
        <v>147</v>
      </c>
      <c r="P132" t="s">
        <v>287</v>
      </c>
    </row>
    <row r="133" spans="1:16" x14ac:dyDescent="0.3">
      <c r="A133" t="s">
        <v>282</v>
      </c>
      <c r="B133" t="s">
        <v>285</v>
      </c>
      <c r="C133" t="s">
        <v>600</v>
      </c>
      <c r="D133">
        <f>VALUE(LEFT(PublicationsTable[[#This Row],[file_name]],4))</f>
        <v>2025</v>
      </c>
      <c r="E133" t="s">
        <v>589</v>
      </c>
      <c r="F133" t="s">
        <v>593</v>
      </c>
      <c r="G133" t="s">
        <v>533</v>
      </c>
      <c r="H133">
        <v>16</v>
      </c>
      <c r="I133">
        <v>1</v>
      </c>
      <c r="J133" t="s">
        <v>594</v>
      </c>
      <c r="L133" t="s">
        <v>635</v>
      </c>
      <c r="M133" t="s">
        <v>434</v>
      </c>
      <c r="O133" t="s">
        <v>148</v>
      </c>
      <c r="P133" t="s">
        <v>287</v>
      </c>
    </row>
    <row r="134" spans="1:16" x14ac:dyDescent="0.3">
      <c r="A134" t="s">
        <v>283</v>
      </c>
      <c r="B134" t="s">
        <v>285</v>
      </c>
      <c r="C134" t="s">
        <v>600</v>
      </c>
      <c r="D134">
        <f>VALUE(LEFT(PublicationsTable[[#This Row],[file_name]],4))</f>
        <v>2025</v>
      </c>
      <c r="E134" t="s">
        <v>595</v>
      </c>
      <c r="F134" t="s">
        <v>596</v>
      </c>
      <c r="G134" t="s">
        <v>533</v>
      </c>
      <c r="H134">
        <v>16</v>
      </c>
      <c r="I134">
        <v>4</v>
      </c>
      <c r="J134" t="s">
        <v>597</v>
      </c>
      <c r="L134" t="s">
        <v>634</v>
      </c>
      <c r="M134" t="s">
        <v>434</v>
      </c>
      <c r="O134" t="s">
        <v>149</v>
      </c>
      <c r="P134" t="s">
        <v>287</v>
      </c>
    </row>
    <row r="135" spans="1:16" x14ac:dyDescent="0.3">
      <c r="A135" t="s">
        <v>284</v>
      </c>
      <c r="B135" t="s">
        <v>285</v>
      </c>
      <c r="C135" t="s">
        <v>600</v>
      </c>
      <c r="D135">
        <f>VALUE(LEFT(PublicationsTable[[#This Row],[file_name]],4))</f>
        <v>2025</v>
      </c>
      <c r="E135" t="s">
        <v>476</v>
      </c>
      <c r="F135" t="s">
        <v>598</v>
      </c>
      <c r="G135" t="s">
        <v>533</v>
      </c>
      <c r="H135">
        <v>16</v>
      </c>
      <c r="I135">
        <v>2</v>
      </c>
      <c r="J135" s="1" t="s">
        <v>599</v>
      </c>
      <c r="L135" t="s">
        <v>633</v>
      </c>
      <c r="M135" t="s">
        <v>434</v>
      </c>
      <c r="O135" t="s">
        <v>150</v>
      </c>
      <c r="P135" t="s">
        <v>287</v>
      </c>
    </row>
    <row r="136" spans="1:16" x14ac:dyDescent="0.3">
      <c r="A136" t="s">
        <v>604</v>
      </c>
      <c r="B136" t="s">
        <v>285</v>
      </c>
      <c r="C136" t="s">
        <v>600</v>
      </c>
      <c r="D136">
        <f>VALUE(LEFT(PublicationsTable[[#This Row],[file_name]],4))</f>
        <v>2026</v>
      </c>
      <c r="E136" t="s">
        <v>605</v>
      </c>
      <c r="F136" t="s">
        <v>606</v>
      </c>
      <c r="G136" t="s">
        <v>533</v>
      </c>
      <c r="H136">
        <v>17</v>
      </c>
      <c r="I136">
        <v>1</v>
      </c>
      <c r="J136" t="s">
        <v>607</v>
      </c>
      <c r="M136" t="s">
        <v>434</v>
      </c>
      <c r="O136" t="s">
        <v>608</v>
      </c>
      <c r="P136" t="s">
        <v>287</v>
      </c>
    </row>
    <row r="137" spans="1:16" x14ac:dyDescent="0.3">
      <c r="A137" t="s">
        <v>609</v>
      </c>
      <c r="B137" t="s">
        <v>285</v>
      </c>
      <c r="C137" t="s">
        <v>600</v>
      </c>
      <c r="D137">
        <f>VALUE(LEFT(PublicationsTable[[#This Row],[file_name]],4))</f>
        <v>2026</v>
      </c>
      <c r="E137" t="s">
        <v>610</v>
      </c>
      <c r="F137" t="s">
        <v>611</v>
      </c>
      <c r="G137" t="s">
        <v>533</v>
      </c>
      <c r="H137">
        <v>17</v>
      </c>
      <c r="I137">
        <v>2</v>
      </c>
      <c r="J137" t="s">
        <v>612</v>
      </c>
      <c r="M137" t="s">
        <v>434</v>
      </c>
      <c r="O137" t="s">
        <v>613</v>
      </c>
      <c r="P137" t="s">
        <v>287</v>
      </c>
    </row>
  </sheetData>
  <phoneticPr fontId="1" type="noConversion"/>
  <dataValidations count="3">
    <dataValidation type="list" allowBlank="1" showInputMessage="1" showErrorMessage="1" sqref="B2:B137" xr:uid="{4097AEAF-A1C2-4390-9B06-0AF57FD443A1}">
      <formula1>"Journal,Conference,Book,Report"</formula1>
    </dataValidation>
    <dataValidation type="list" allowBlank="1" showInputMessage="1" showErrorMessage="1" sqref="C2:C137" xr:uid="{DF9A1197-E5D4-4C18-8B8C-E3B493C707CA}">
      <formula1>"SSCI,SCIE,KCI,Other,Unverified,Not applicable"</formula1>
    </dataValidation>
    <dataValidation type="list" allowBlank="1" showInputMessage="1" showErrorMessage="1" sqref="P2:P137 M2:M137" xr:uid="{24D29147-F31F-48DB-8F1C-55C5A592175F}">
      <formula1>"Y,N"</formula1>
    </dataValidation>
  </dataValidations>
  <hyperlinks>
    <hyperlink ref="L130" r:id="rId1" xr:uid="{3B221264-9B57-4EFB-A972-E50C843488C9}"/>
    <hyperlink ref="L124" r:id="rId2" xr:uid="{17A48322-5B7C-4290-8601-48F6E538CA51}"/>
    <hyperlink ref="L122" r:id="rId3" xr:uid="{8E9391E4-744E-4AD3-8793-B60E6BE661B9}"/>
    <hyperlink ref="L111" r:id="rId4" xr:uid="{0D92085D-1513-44F0-87F5-537487506C7C}"/>
    <hyperlink ref="L110" r:id="rId5" xr:uid="{A485EFB8-2A9F-4776-B137-EE6FCC49F5CA}"/>
    <hyperlink ref="L91" r:id="rId6" xr:uid="{EEAE9123-2018-46E9-B02E-EE5C09052273}"/>
  </hyperlinks>
  <pageMargins left="0.7" right="0.7" top="0.75" bottom="0.75" header="0.3" footer="0.3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2BBE7-D294-4D7F-ADF2-3451217C3A65}">
  <dimension ref="A1:A135"/>
  <sheetViews>
    <sheetView workbookViewId="0">
      <selection activeCell="A2" sqref="A2:A135"/>
    </sheetView>
  </sheetViews>
  <sheetFormatPr defaultRowHeight="16.5" x14ac:dyDescent="0.3"/>
  <cols>
    <col min="1" max="1" width="81" bestFit="1" customWidth="1"/>
  </cols>
  <sheetData>
    <row r="1" spans="1:1" x14ac:dyDescent="0.3">
      <c r="A1" t="s">
        <v>16</v>
      </c>
    </row>
    <row r="2" spans="1:1" x14ac:dyDescent="0.3">
      <c r="A2" t="s">
        <v>17</v>
      </c>
    </row>
    <row r="3" spans="1:1" x14ac:dyDescent="0.3">
      <c r="A3" t="s">
        <v>18</v>
      </c>
    </row>
    <row r="4" spans="1:1" x14ac:dyDescent="0.3">
      <c r="A4" t="s">
        <v>19</v>
      </c>
    </row>
    <row r="5" spans="1:1" x14ac:dyDescent="0.3">
      <c r="A5" t="s">
        <v>20</v>
      </c>
    </row>
    <row r="6" spans="1:1" x14ac:dyDescent="0.3">
      <c r="A6" t="s">
        <v>21</v>
      </c>
    </row>
    <row r="7" spans="1:1" x14ac:dyDescent="0.3">
      <c r="A7" t="s">
        <v>22</v>
      </c>
    </row>
    <row r="8" spans="1:1" x14ac:dyDescent="0.3">
      <c r="A8" t="s">
        <v>23</v>
      </c>
    </row>
    <row r="9" spans="1:1" x14ac:dyDescent="0.3">
      <c r="A9" t="s">
        <v>24</v>
      </c>
    </row>
    <row r="10" spans="1:1" x14ac:dyDescent="0.3">
      <c r="A10" t="s">
        <v>25</v>
      </c>
    </row>
    <row r="11" spans="1:1" x14ac:dyDescent="0.3">
      <c r="A11" t="s">
        <v>26</v>
      </c>
    </row>
    <row r="12" spans="1:1" x14ac:dyDescent="0.3">
      <c r="A12" t="s">
        <v>27</v>
      </c>
    </row>
    <row r="13" spans="1:1" x14ac:dyDescent="0.3">
      <c r="A13" t="s">
        <v>28</v>
      </c>
    </row>
    <row r="14" spans="1:1" x14ac:dyDescent="0.3">
      <c r="A14" t="s">
        <v>29</v>
      </c>
    </row>
    <row r="15" spans="1:1" x14ac:dyDescent="0.3">
      <c r="A15" t="s">
        <v>30</v>
      </c>
    </row>
    <row r="16" spans="1:1" x14ac:dyDescent="0.3">
      <c r="A16" t="s">
        <v>31</v>
      </c>
    </row>
    <row r="17" spans="1:1" x14ac:dyDescent="0.3">
      <c r="A17" t="s">
        <v>32</v>
      </c>
    </row>
    <row r="18" spans="1:1" x14ac:dyDescent="0.3">
      <c r="A18" t="s">
        <v>33</v>
      </c>
    </row>
    <row r="19" spans="1:1" x14ac:dyDescent="0.3">
      <c r="A19" t="s">
        <v>34</v>
      </c>
    </row>
    <row r="20" spans="1:1" x14ac:dyDescent="0.3">
      <c r="A20" t="s">
        <v>35</v>
      </c>
    </row>
    <row r="21" spans="1:1" x14ac:dyDescent="0.3">
      <c r="A21" t="s">
        <v>36</v>
      </c>
    </row>
    <row r="22" spans="1:1" x14ac:dyDescent="0.3">
      <c r="A22" t="s">
        <v>37</v>
      </c>
    </row>
    <row r="23" spans="1:1" x14ac:dyDescent="0.3">
      <c r="A23" t="s">
        <v>38</v>
      </c>
    </row>
    <row r="24" spans="1:1" x14ac:dyDescent="0.3">
      <c r="A24" t="s">
        <v>39</v>
      </c>
    </row>
    <row r="25" spans="1:1" x14ac:dyDescent="0.3">
      <c r="A25" t="s">
        <v>40</v>
      </c>
    </row>
    <row r="26" spans="1:1" x14ac:dyDescent="0.3">
      <c r="A26" t="s">
        <v>41</v>
      </c>
    </row>
    <row r="27" spans="1:1" x14ac:dyDescent="0.3">
      <c r="A27" t="s">
        <v>42</v>
      </c>
    </row>
    <row r="28" spans="1:1" x14ac:dyDescent="0.3">
      <c r="A28" t="s">
        <v>43</v>
      </c>
    </row>
    <row r="29" spans="1:1" x14ac:dyDescent="0.3">
      <c r="A29" t="s">
        <v>44</v>
      </c>
    </row>
    <row r="30" spans="1:1" x14ac:dyDescent="0.3">
      <c r="A30" t="s">
        <v>45</v>
      </c>
    </row>
    <row r="31" spans="1:1" x14ac:dyDescent="0.3">
      <c r="A31" t="s">
        <v>46</v>
      </c>
    </row>
    <row r="32" spans="1:1" x14ac:dyDescent="0.3">
      <c r="A32" t="s">
        <v>47</v>
      </c>
    </row>
    <row r="33" spans="1:1" x14ac:dyDescent="0.3">
      <c r="A33" t="s">
        <v>48</v>
      </c>
    </row>
    <row r="34" spans="1:1" x14ac:dyDescent="0.3">
      <c r="A34" t="s">
        <v>49</v>
      </c>
    </row>
    <row r="35" spans="1:1" x14ac:dyDescent="0.3">
      <c r="A35" t="s">
        <v>50</v>
      </c>
    </row>
    <row r="36" spans="1:1" x14ac:dyDescent="0.3">
      <c r="A36" t="s">
        <v>51</v>
      </c>
    </row>
    <row r="37" spans="1:1" x14ac:dyDescent="0.3">
      <c r="A37" t="s">
        <v>52</v>
      </c>
    </row>
    <row r="38" spans="1:1" x14ac:dyDescent="0.3">
      <c r="A38" t="s">
        <v>53</v>
      </c>
    </row>
    <row r="39" spans="1:1" x14ac:dyDescent="0.3">
      <c r="A39" t="s">
        <v>54</v>
      </c>
    </row>
    <row r="40" spans="1:1" x14ac:dyDescent="0.3">
      <c r="A40" t="s">
        <v>55</v>
      </c>
    </row>
    <row r="41" spans="1:1" x14ac:dyDescent="0.3">
      <c r="A41" t="s">
        <v>56</v>
      </c>
    </row>
    <row r="42" spans="1:1" x14ac:dyDescent="0.3">
      <c r="A42" t="s">
        <v>57</v>
      </c>
    </row>
    <row r="43" spans="1:1" x14ac:dyDescent="0.3">
      <c r="A43" t="s">
        <v>58</v>
      </c>
    </row>
    <row r="44" spans="1:1" x14ac:dyDescent="0.3">
      <c r="A44" t="s">
        <v>59</v>
      </c>
    </row>
    <row r="45" spans="1:1" x14ac:dyDescent="0.3">
      <c r="A45" t="s">
        <v>60</v>
      </c>
    </row>
    <row r="46" spans="1:1" x14ac:dyDescent="0.3">
      <c r="A46" t="s">
        <v>61</v>
      </c>
    </row>
    <row r="47" spans="1:1" x14ac:dyDescent="0.3">
      <c r="A47" t="s">
        <v>62</v>
      </c>
    </row>
    <row r="48" spans="1:1" x14ac:dyDescent="0.3">
      <c r="A48" t="s">
        <v>63</v>
      </c>
    </row>
    <row r="49" spans="1:1" x14ac:dyDescent="0.3">
      <c r="A49" t="s">
        <v>64</v>
      </c>
    </row>
    <row r="50" spans="1:1" x14ac:dyDescent="0.3">
      <c r="A50" t="s">
        <v>65</v>
      </c>
    </row>
    <row r="51" spans="1:1" x14ac:dyDescent="0.3">
      <c r="A51" t="s">
        <v>66</v>
      </c>
    </row>
    <row r="52" spans="1:1" x14ac:dyDescent="0.3">
      <c r="A52" t="s">
        <v>67</v>
      </c>
    </row>
    <row r="53" spans="1:1" x14ac:dyDescent="0.3">
      <c r="A53" t="s">
        <v>68</v>
      </c>
    </row>
    <row r="54" spans="1:1" x14ac:dyDescent="0.3">
      <c r="A54" t="s">
        <v>69</v>
      </c>
    </row>
    <row r="55" spans="1:1" x14ac:dyDescent="0.3">
      <c r="A55" t="s">
        <v>70</v>
      </c>
    </row>
    <row r="56" spans="1:1" x14ac:dyDescent="0.3">
      <c r="A56" t="s">
        <v>71</v>
      </c>
    </row>
    <row r="57" spans="1:1" x14ac:dyDescent="0.3">
      <c r="A57" t="s">
        <v>72</v>
      </c>
    </row>
    <row r="58" spans="1:1" x14ac:dyDescent="0.3">
      <c r="A58" t="s">
        <v>73</v>
      </c>
    </row>
    <row r="59" spans="1:1" x14ac:dyDescent="0.3">
      <c r="A59" t="s">
        <v>74</v>
      </c>
    </row>
    <row r="60" spans="1:1" x14ac:dyDescent="0.3">
      <c r="A60" t="s">
        <v>75</v>
      </c>
    </row>
    <row r="61" spans="1:1" x14ac:dyDescent="0.3">
      <c r="A61" t="s">
        <v>76</v>
      </c>
    </row>
    <row r="62" spans="1:1" x14ac:dyDescent="0.3">
      <c r="A62" t="s">
        <v>77</v>
      </c>
    </row>
    <row r="63" spans="1:1" x14ac:dyDescent="0.3">
      <c r="A63" t="s">
        <v>78</v>
      </c>
    </row>
    <row r="64" spans="1:1" x14ac:dyDescent="0.3">
      <c r="A64" t="s">
        <v>79</v>
      </c>
    </row>
    <row r="65" spans="1:1" x14ac:dyDescent="0.3">
      <c r="A65" t="s">
        <v>80</v>
      </c>
    </row>
    <row r="66" spans="1:1" x14ac:dyDescent="0.3">
      <c r="A66" t="s">
        <v>81</v>
      </c>
    </row>
    <row r="67" spans="1:1" x14ac:dyDescent="0.3">
      <c r="A67" t="s">
        <v>82</v>
      </c>
    </row>
    <row r="68" spans="1:1" x14ac:dyDescent="0.3">
      <c r="A68" t="s">
        <v>83</v>
      </c>
    </row>
    <row r="69" spans="1:1" x14ac:dyDescent="0.3">
      <c r="A69" t="s">
        <v>84</v>
      </c>
    </row>
    <row r="70" spans="1:1" x14ac:dyDescent="0.3">
      <c r="A70" t="s">
        <v>85</v>
      </c>
    </row>
    <row r="71" spans="1:1" x14ac:dyDescent="0.3">
      <c r="A71" t="s">
        <v>86</v>
      </c>
    </row>
    <row r="72" spans="1:1" x14ac:dyDescent="0.3">
      <c r="A72" t="s">
        <v>87</v>
      </c>
    </row>
    <row r="73" spans="1:1" x14ac:dyDescent="0.3">
      <c r="A73" t="s">
        <v>88</v>
      </c>
    </row>
    <row r="74" spans="1:1" x14ac:dyDescent="0.3">
      <c r="A74" t="s">
        <v>89</v>
      </c>
    </row>
    <row r="75" spans="1:1" x14ac:dyDescent="0.3">
      <c r="A75" t="s">
        <v>90</v>
      </c>
    </row>
    <row r="76" spans="1:1" x14ac:dyDescent="0.3">
      <c r="A76" t="s">
        <v>91</v>
      </c>
    </row>
    <row r="77" spans="1:1" x14ac:dyDescent="0.3">
      <c r="A77" t="s">
        <v>92</v>
      </c>
    </row>
    <row r="78" spans="1:1" x14ac:dyDescent="0.3">
      <c r="A78" t="s">
        <v>93</v>
      </c>
    </row>
    <row r="79" spans="1:1" x14ac:dyDescent="0.3">
      <c r="A79" t="s">
        <v>94</v>
      </c>
    </row>
    <row r="80" spans="1:1" x14ac:dyDescent="0.3">
      <c r="A80" t="s">
        <v>95</v>
      </c>
    </row>
    <row r="81" spans="1:1" x14ac:dyDescent="0.3">
      <c r="A81" t="s">
        <v>96</v>
      </c>
    </row>
    <row r="82" spans="1:1" x14ac:dyDescent="0.3">
      <c r="A82" t="s">
        <v>97</v>
      </c>
    </row>
    <row r="83" spans="1:1" x14ac:dyDescent="0.3">
      <c r="A83" t="s">
        <v>98</v>
      </c>
    </row>
    <row r="84" spans="1:1" x14ac:dyDescent="0.3">
      <c r="A84" t="s">
        <v>99</v>
      </c>
    </row>
    <row r="85" spans="1:1" x14ac:dyDescent="0.3">
      <c r="A85" t="s">
        <v>100</v>
      </c>
    </row>
    <row r="86" spans="1:1" x14ac:dyDescent="0.3">
      <c r="A86" t="s">
        <v>101</v>
      </c>
    </row>
    <row r="87" spans="1:1" x14ac:dyDescent="0.3">
      <c r="A87" t="s">
        <v>102</v>
      </c>
    </row>
    <row r="88" spans="1:1" x14ac:dyDescent="0.3">
      <c r="A88" t="s">
        <v>103</v>
      </c>
    </row>
    <row r="89" spans="1:1" x14ac:dyDescent="0.3">
      <c r="A89" t="s">
        <v>104</v>
      </c>
    </row>
    <row r="90" spans="1:1" x14ac:dyDescent="0.3">
      <c r="A90" t="s">
        <v>105</v>
      </c>
    </row>
    <row r="91" spans="1:1" x14ac:dyDescent="0.3">
      <c r="A91" t="s">
        <v>106</v>
      </c>
    </row>
    <row r="92" spans="1:1" x14ac:dyDescent="0.3">
      <c r="A92" t="s">
        <v>107</v>
      </c>
    </row>
    <row r="93" spans="1:1" x14ac:dyDescent="0.3">
      <c r="A93" t="s">
        <v>108</v>
      </c>
    </row>
    <row r="94" spans="1:1" x14ac:dyDescent="0.3">
      <c r="A94" t="s">
        <v>109</v>
      </c>
    </row>
    <row r="95" spans="1:1" x14ac:dyDescent="0.3">
      <c r="A95" t="s">
        <v>110</v>
      </c>
    </row>
    <row r="96" spans="1:1" x14ac:dyDescent="0.3">
      <c r="A96" t="s">
        <v>111</v>
      </c>
    </row>
    <row r="97" spans="1:1" x14ac:dyDescent="0.3">
      <c r="A97" t="s">
        <v>112</v>
      </c>
    </row>
    <row r="98" spans="1:1" x14ac:dyDescent="0.3">
      <c r="A98" t="s">
        <v>113</v>
      </c>
    </row>
    <row r="99" spans="1:1" x14ac:dyDescent="0.3">
      <c r="A99" t="s">
        <v>114</v>
      </c>
    </row>
    <row r="100" spans="1:1" x14ac:dyDescent="0.3">
      <c r="A100" t="s">
        <v>115</v>
      </c>
    </row>
    <row r="101" spans="1:1" x14ac:dyDescent="0.3">
      <c r="A101" t="s">
        <v>116</v>
      </c>
    </row>
    <row r="102" spans="1:1" x14ac:dyDescent="0.3">
      <c r="A102" t="s">
        <v>117</v>
      </c>
    </row>
    <row r="103" spans="1:1" x14ac:dyDescent="0.3">
      <c r="A103" t="s">
        <v>118</v>
      </c>
    </row>
    <row r="104" spans="1:1" x14ac:dyDescent="0.3">
      <c r="A104" t="s">
        <v>119</v>
      </c>
    </row>
    <row r="105" spans="1:1" x14ac:dyDescent="0.3">
      <c r="A105" t="s">
        <v>120</v>
      </c>
    </row>
    <row r="106" spans="1:1" x14ac:dyDescent="0.3">
      <c r="A106" t="s">
        <v>121</v>
      </c>
    </row>
    <row r="107" spans="1:1" x14ac:dyDescent="0.3">
      <c r="A107" t="s">
        <v>122</v>
      </c>
    </row>
    <row r="108" spans="1:1" x14ac:dyDescent="0.3">
      <c r="A108" t="s">
        <v>123</v>
      </c>
    </row>
    <row r="109" spans="1:1" x14ac:dyDescent="0.3">
      <c r="A109" t="s">
        <v>124</v>
      </c>
    </row>
    <row r="110" spans="1:1" x14ac:dyDescent="0.3">
      <c r="A110" t="s">
        <v>125</v>
      </c>
    </row>
    <row r="111" spans="1:1" x14ac:dyDescent="0.3">
      <c r="A111" t="s">
        <v>126</v>
      </c>
    </row>
    <row r="112" spans="1:1" x14ac:dyDescent="0.3">
      <c r="A112" t="s">
        <v>127</v>
      </c>
    </row>
    <row r="113" spans="1:1" x14ac:dyDescent="0.3">
      <c r="A113" t="s">
        <v>128</v>
      </c>
    </row>
    <row r="114" spans="1:1" x14ac:dyDescent="0.3">
      <c r="A114" t="s">
        <v>129</v>
      </c>
    </row>
    <row r="115" spans="1:1" x14ac:dyDescent="0.3">
      <c r="A115" t="s">
        <v>130</v>
      </c>
    </row>
    <row r="116" spans="1:1" x14ac:dyDescent="0.3">
      <c r="A116" t="s">
        <v>131</v>
      </c>
    </row>
    <row r="117" spans="1:1" x14ac:dyDescent="0.3">
      <c r="A117" t="s">
        <v>132</v>
      </c>
    </row>
    <row r="118" spans="1:1" x14ac:dyDescent="0.3">
      <c r="A118" t="s">
        <v>133</v>
      </c>
    </row>
    <row r="119" spans="1:1" x14ac:dyDescent="0.3">
      <c r="A119" t="s">
        <v>134</v>
      </c>
    </row>
    <row r="120" spans="1:1" x14ac:dyDescent="0.3">
      <c r="A120" t="s">
        <v>135</v>
      </c>
    </row>
    <row r="121" spans="1:1" x14ac:dyDescent="0.3">
      <c r="A121" t="s">
        <v>136</v>
      </c>
    </row>
    <row r="122" spans="1:1" x14ac:dyDescent="0.3">
      <c r="A122" t="s">
        <v>137</v>
      </c>
    </row>
    <row r="123" spans="1:1" x14ac:dyDescent="0.3">
      <c r="A123" t="s">
        <v>138</v>
      </c>
    </row>
    <row r="124" spans="1:1" x14ac:dyDescent="0.3">
      <c r="A124" t="s">
        <v>139</v>
      </c>
    </row>
    <row r="125" spans="1:1" x14ac:dyDescent="0.3">
      <c r="A125" t="s">
        <v>140</v>
      </c>
    </row>
    <row r="126" spans="1:1" x14ac:dyDescent="0.3">
      <c r="A126" t="s">
        <v>141</v>
      </c>
    </row>
    <row r="127" spans="1:1" x14ac:dyDescent="0.3">
      <c r="A127" t="s">
        <v>142</v>
      </c>
    </row>
    <row r="128" spans="1:1" x14ac:dyDescent="0.3">
      <c r="A128" t="s">
        <v>143</v>
      </c>
    </row>
    <row r="129" spans="1:1" x14ac:dyDescent="0.3">
      <c r="A129" t="s">
        <v>144</v>
      </c>
    </row>
    <row r="130" spans="1:1" x14ac:dyDescent="0.3">
      <c r="A130" t="s">
        <v>145</v>
      </c>
    </row>
    <row r="131" spans="1:1" x14ac:dyDescent="0.3">
      <c r="A131" t="s">
        <v>146</v>
      </c>
    </row>
    <row r="132" spans="1:1" x14ac:dyDescent="0.3">
      <c r="A132" t="s">
        <v>147</v>
      </c>
    </row>
    <row r="133" spans="1:1" x14ac:dyDescent="0.3">
      <c r="A133" t="s">
        <v>148</v>
      </c>
    </row>
    <row r="134" spans="1:1" x14ac:dyDescent="0.3">
      <c r="A134" t="s">
        <v>149</v>
      </c>
    </row>
    <row r="135" spans="1:1" x14ac:dyDescent="0.3">
      <c r="A135" t="s">
        <v>150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6DCFCD-C9CC-4765-B178-91EC170C0D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publications</vt:lpstr>
      <vt:lpstr>PDF_list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김지우</dc:creator>
  <cp:lastModifiedBy>김지우</cp:lastModifiedBy>
  <dcterms:created xsi:type="dcterms:W3CDTF">2026-08-03T07:47:01Z</dcterms:created>
  <dcterms:modified xsi:type="dcterms:W3CDTF">2026-10-16T08:51:42Z</dcterms:modified>
</cp:coreProperties>
</file>